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fd819f061f61ee/!PRIORITY/!2025_Wildfire_Public_Health_Guidance/!!!Final_Codebook/"/>
    </mc:Choice>
  </mc:AlternateContent>
  <xr:revisionPtr revIDLastSave="7" documentId="13_ncr:1_{78A51FB3-27E8-EB48-9148-C25954C67EF7}" xr6:coauthVersionLast="47" xr6:coauthVersionMax="47" xr10:uidLastSave="{7AD85BDC-7234-904F-8E31-8DEC193EF52A}"/>
  <bookViews>
    <workbookView xWindow="-48220" yWindow="-11200" windowWidth="35860" windowHeight="21760" activeTab="4" xr2:uid="{E4913779-53EE-BE4F-94C4-B41E5431D904}"/>
  </bookViews>
  <sheets>
    <sheet name="Code_book_v3.3" sheetId="5" r:id="rId1"/>
    <sheet name="Data_extraction_working" sheetId="8" r:id="rId2"/>
    <sheet name="S_data_extraction" sheetId="11" r:id="rId3"/>
    <sheet name="M_data_extraction" sheetId="12" r:id="rId4"/>
    <sheet name="Content analysis_text agreement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31" i="13" l="1"/>
  <c r="CD31" i="13"/>
  <c r="CA31" i="13"/>
  <c r="BX31" i="13"/>
  <c r="BU31" i="13"/>
  <c r="BR31" i="13"/>
  <c r="BO31" i="13"/>
  <c r="BL31" i="13"/>
  <c r="BI31" i="13"/>
  <c r="BF31" i="13"/>
  <c r="BC31" i="13"/>
  <c r="AZ31" i="13"/>
  <c r="AW31" i="13"/>
  <c r="AT31" i="13"/>
  <c r="AQ31" i="13"/>
  <c r="AN31" i="13"/>
  <c r="AK31" i="13"/>
  <c r="AH31" i="13"/>
  <c r="AE31" i="13"/>
  <c r="AB31" i="13"/>
  <c r="Y31" i="13"/>
  <c r="V31" i="13"/>
  <c r="P31" i="13"/>
  <c r="J31" i="13"/>
  <c r="G31" i="13"/>
  <c r="D31" i="13"/>
  <c r="CG30" i="13"/>
  <c r="CD30" i="13"/>
  <c r="CA30" i="13"/>
  <c r="BX30" i="13"/>
  <c r="BU30" i="13"/>
  <c r="BR30" i="13"/>
  <c r="BO30" i="13"/>
  <c r="BL30" i="13"/>
  <c r="BI30" i="13"/>
  <c r="BF30" i="13"/>
  <c r="BC30" i="13"/>
  <c r="AZ30" i="13"/>
  <c r="AW30" i="13"/>
  <c r="AT30" i="13"/>
  <c r="AQ30" i="13"/>
  <c r="AN30" i="13"/>
  <c r="AK30" i="13"/>
  <c r="AH30" i="13"/>
  <c r="AE30" i="13"/>
  <c r="AB30" i="13"/>
  <c r="Y30" i="13"/>
  <c r="V30" i="13"/>
  <c r="P30" i="13"/>
  <c r="J30" i="13"/>
  <c r="G30" i="13"/>
  <c r="D30" i="13"/>
  <c r="CG29" i="13"/>
  <c r="CD29" i="13"/>
  <c r="CA29" i="13"/>
  <c r="BX29" i="13"/>
  <c r="BU29" i="13"/>
  <c r="BR29" i="13"/>
  <c r="BO29" i="13"/>
  <c r="BL29" i="13"/>
  <c r="BI29" i="13"/>
  <c r="BF29" i="13"/>
  <c r="BC29" i="13"/>
  <c r="AZ29" i="13"/>
  <c r="AW29" i="13"/>
  <c r="AT29" i="13"/>
  <c r="AQ29" i="13"/>
  <c r="AN29" i="13"/>
  <c r="AK29" i="13"/>
  <c r="AH29" i="13"/>
  <c r="AE29" i="13"/>
  <c r="AB29" i="13"/>
  <c r="Y29" i="13"/>
  <c r="V29" i="13"/>
  <c r="S29" i="13"/>
  <c r="P29" i="13"/>
  <c r="M29" i="13"/>
  <c r="J29" i="13"/>
  <c r="G29" i="13"/>
  <c r="D29" i="13"/>
  <c r="CG28" i="13"/>
  <c r="CD28" i="13"/>
  <c r="CA28" i="13"/>
  <c r="BX28" i="13"/>
  <c r="BU28" i="13"/>
  <c r="BR28" i="13"/>
  <c r="BO28" i="13"/>
  <c r="BL28" i="13"/>
  <c r="BI28" i="13"/>
  <c r="BF28" i="13"/>
  <c r="BC28" i="13"/>
  <c r="AZ28" i="13"/>
  <c r="AW28" i="13"/>
  <c r="AT28" i="13"/>
  <c r="AQ28" i="13"/>
  <c r="AN28" i="13"/>
  <c r="AK28" i="13"/>
  <c r="AH28" i="13"/>
  <c r="AE28" i="13"/>
  <c r="AB28" i="13"/>
  <c r="Y28" i="13"/>
  <c r="V28" i="13"/>
  <c r="S28" i="13"/>
  <c r="P28" i="13"/>
  <c r="J28" i="13"/>
  <c r="G28" i="13"/>
  <c r="D28" i="13"/>
  <c r="CG27" i="13"/>
  <c r="CD27" i="13"/>
  <c r="CA27" i="13"/>
  <c r="BX27" i="13"/>
  <c r="BU27" i="13"/>
  <c r="BR27" i="13"/>
  <c r="BO27" i="13"/>
  <c r="BL27" i="13"/>
  <c r="BI27" i="13"/>
  <c r="BF27" i="13"/>
  <c r="BC27" i="13"/>
  <c r="AZ27" i="13"/>
  <c r="AW27" i="13"/>
  <c r="AT27" i="13"/>
  <c r="AQ27" i="13"/>
  <c r="AN27" i="13"/>
  <c r="AK27" i="13"/>
  <c r="AH27" i="13"/>
  <c r="AE27" i="13"/>
  <c r="AB27" i="13"/>
  <c r="Y27" i="13"/>
  <c r="V27" i="13"/>
  <c r="S27" i="13"/>
  <c r="P27" i="13"/>
  <c r="J27" i="13"/>
  <c r="G27" i="13"/>
  <c r="D27" i="13"/>
  <c r="CG26" i="13"/>
  <c r="CD26" i="13"/>
  <c r="CA26" i="13"/>
  <c r="BX26" i="13"/>
  <c r="BU26" i="13"/>
  <c r="BR26" i="13"/>
  <c r="BO26" i="13"/>
  <c r="BL26" i="13"/>
  <c r="BI26" i="13"/>
  <c r="BF26" i="13"/>
  <c r="BC26" i="13"/>
  <c r="AZ26" i="13"/>
  <c r="AW26" i="13"/>
  <c r="AT26" i="13"/>
  <c r="AQ26" i="13"/>
  <c r="AN26" i="13"/>
  <c r="AK26" i="13"/>
  <c r="AH26" i="13"/>
  <c r="AE26" i="13"/>
  <c r="AB26" i="13"/>
  <c r="Y26" i="13"/>
  <c r="V26" i="13"/>
  <c r="S26" i="13"/>
  <c r="P26" i="13"/>
  <c r="M26" i="13"/>
  <c r="J26" i="13"/>
  <c r="G26" i="13"/>
  <c r="D26" i="13"/>
  <c r="CG25" i="13"/>
  <c r="CD25" i="13"/>
  <c r="CA25" i="13"/>
  <c r="BX25" i="13"/>
  <c r="BU25" i="13"/>
  <c r="BR25" i="13"/>
  <c r="BO25" i="13"/>
  <c r="BL25" i="13"/>
  <c r="BI25" i="13"/>
  <c r="BF25" i="13"/>
  <c r="BC25" i="13"/>
  <c r="AZ25" i="13"/>
  <c r="AW25" i="13"/>
  <c r="AT25" i="13"/>
  <c r="AQ25" i="13"/>
  <c r="AN25" i="13"/>
  <c r="AK25" i="13"/>
  <c r="AH25" i="13"/>
  <c r="AE25" i="13"/>
  <c r="AB25" i="13"/>
  <c r="Y25" i="13"/>
  <c r="V25" i="13"/>
  <c r="S25" i="13"/>
  <c r="P25" i="13"/>
  <c r="M25" i="13"/>
  <c r="J25" i="13"/>
  <c r="G25" i="13"/>
  <c r="D25" i="13"/>
  <c r="CG24" i="13"/>
  <c r="CD24" i="13"/>
  <c r="CA24" i="13"/>
  <c r="BX24" i="13"/>
  <c r="BU24" i="13"/>
  <c r="BR24" i="13"/>
  <c r="BO24" i="13"/>
  <c r="BL24" i="13"/>
  <c r="BI24" i="13"/>
  <c r="BF24" i="13"/>
  <c r="BC24" i="13"/>
  <c r="AZ24" i="13"/>
  <c r="AW24" i="13"/>
  <c r="AT24" i="13"/>
  <c r="AQ24" i="13"/>
  <c r="AN24" i="13"/>
  <c r="AK24" i="13"/>
  <c r="AH24" i="13"/>
  <c r="AE24" i="13"/>
  <c r="AB24" i="13"/>
  <c r="Y24" i="13"/>
  <c r="V24" i="13"/>
  <c r="S24" i="13"/>
  <c r="P24" i="13"/>
  <c r="M24" i="13"/>
  <c r="J24" i="13"/>
  <c r="G24" i="13"/>
  <c r="D24" i="13"/>
  <c r="CG23" i="13"/>
  <c r="CD23" i="13"/>
  <c r="CA23" i="13"/>
  <c r="BX23" i="13"/>
  <c r="BU23" i="13"/>
  <c r="BR23" i="13"/>
  <c r="BO23" i="13"/>
  <c r="BL23" i="13"/>
  <c r="BI23" i="13"/>
  <c r="BF23" i="13"/>
  <c r="BC23" i="13"/>
  <c r="AZ23" i="13"/>
  <c r="AW23" i="13"/>
  <c r="AT23" i="13"/>
  <c r="AQ23" i="13"/>
  <c r="AN23" i="13"/>
  <c r="AK23" i="13"/>
  <c r="AH23" i="13"/>
  <c r="AE23" i="13"/>
  <c r="AB23" i="13"/>
  <c r="Y23" i="13"/>
  <c r="V23" i="13"/>
  <c r="S23" i="13"/>
  <c r="P23" i="13"/>
  <c r="M23" i="13"/>
  <c r="J23" i="13"/>
  <c r="G23" i="13"/>
  <c r="D23" i="13"/>
  <c r="CG22" i="13"/>
  <c r="CD22" i="13"/>
  <c r="CA22" i="13"/>
  <c r="BX22" i="13"/>
  <c r="BU22" i="13"/>
  <c r="BR22" i="13"/>
  <c r="BO22" i="13"/>
  <c r="BL22" i="13"/>
  <c r="BI22" i="13"/>
  <c r="BF22" i="13"/>
  <c r="BC22" i="13"/>
  <c r="AZ22" i="13"/>
  <c r="AW22" i="13"/>
  <c r="AT22" i="13"/>
  <c r="AQ22" i="13"/>
  <c r="AN22" i="13"/>
  <c r="AK22" i="13"/>
  <c r="AH22" i="13"/>
  <c r="AE22" i="13"/>
  <c r="AB22" i="13"/>
  <c r="Y22" i="13"/>
  <c r="V22" i="13"/>
  <c r="S22" i="13"/>
  <c r="P22" i="13"/>
  <c r="M22" i="13"/>
  <c r="J22" i="13"/>
  <c r="G22" i="13"/>
  <c r="D22" i="13"/>
  <c r="CG21" i="13"/>
  <c r="CD21" i="13"/>
  <c r="CA21" i="13"/>
  <c r="BX21" i="13"/>
  <c r="BU21" i="13"/>
  <c r="BR21" i="13"/>
  <c r="BO21" i="13"/>
  <c r="BL21" i="13"/>
  <c r="BI21" i="13"/>
  <c r="BF21" i="13"/>
  <c r="BC21" i="13"/>
  <c r="AZ21" i="13"/>
  <c r="AW21" i="13"/>
  <c r="AT21" i="13"/>
  <c r="AQ21" i="13"/>
  <c r="AN21" i="13"/>
  <c r="AK21" i="13"/>
  <c r="AH21" i="13"/>
  <c r="AE21" i="13"/>
  <c r="AB21" i="13"/>
  <c r="Y21" i="13"/>
  <c r="V21" i="13"/>
  <c r="S21" i="13"/>
  <c r="P21" i="13"/>
  <c r="M21" i="13"/>
  <c r="J21" i="13"/>
  <c r="G21" i="13"/>
  <c r="D21" i="13"/>
  <c r="CG20" i="13"/>
  <c r="CD20" i="13"/>
  <c r="CA20" i="13"/>
  <c r="BX20" i="13"/>
  <c r="BU20" i="13"/>
  <c r="BR20" i="13"/>
  <c r="BO20" i="13"/>
  <c r="BL20" i="13"/>
  <c r="BI20" i="13"/>
  <c r="BF20" i="13"/>
  <c r="BC20" i="13"/>
  <c r="AZ20" i="13"/>
  <c r="AW20" i="13"/>
  <c r="AT20" i="13"/>
  <c r="AQ20" i="13"/>
  <c r="AN20" i="13"/>
  <c r="AK20" i="13"/>
  <c r="AH20" i="13"/>
  <c r="AE20" i="13"/>
  <c r="AB20" i="13"/>
  <c r="Y20" i="13"/>
  <c r="V20" i="13"/>
  <c r="P20" i="13"/>
  <c r="M20" i="13"/>
  <c r="J20" i="13"/>
  <c r="G20" i="13"/>
  <c r="D20" i="13"/>
  <c r="CG19" i="13"/>
  <c r="CD19" i="13"/>
  <c r="CA19" i="13"/>
  <c r="BX19" i="13"/>
  <c r="BU19" i="13"/>
  <c r="BR19" i="13"/>
  <c r="BO19" i="13"/>
  <c r="BL19" i="13"/>
  <c r="BI19" i="13"/>
  <c r="BF19" i="13"/>
  <c r="BC19" i="13"/>
  <c r="AZ19" i="13"/>
  <c r="AW19" i="13"/>
  <c r="AT19" i="13"/>
  <c r="AQ19" i="13"/>
  <c r="AN19" i="13"/>
  <c r="AK19" i="13"/>
  <c r="AH19" i="13"/>
  <c r="AE19" i="13"/>
  <c r="AB19" i="13"/>
  <c r="Y19" i="13"/>
  <c r="V19" i="13"/>
  <c r="P19" i="13"/>
  <c r="M19" i="13"/>
  <c r="J19" i="13"/>
  <c r="G19" i="13"/>
  <c r="D19" i="13"/>
  <c r="CG18" i="13"/>
  <c r="CD18" i="13"/>
  <c r="CA18" i="13"/>
  <c r="BX18" i="13"/>
  <c r="BU18" i="13"/>
  <c r="BR18" i="13"/>
  <c r="BO18" i="13"/>
  <c r="BL18" i="13"/>
  <c r="BI18" i="13"/>
  <c r="BF18" i="13"/>
  <c r="BC18" i="13"/>
  <c r="AZ18" i="13"/>
  <c r="AW18" i="13"/>
  <c r="AT18" i="13"/>
  <c r="AQ18" i="13"/>
  <c r="AN18" i="13"/>
  <c r="AK18" i="13"/>
  <c r="AH18" i="13"/>
  <c r="AE18" i="13"/>
  <c r="AB18" i="13"/>
  <c r="Y18" i="13"/>
  <c r="V18" i="13"/>
  <c r="P18" i="13"/>
  <c r="M18" i="13"/>
  <c r="J18" i="13"/>
  <c r="G18" i="13"/>
  <c r="D18" i="13"/>
  <c r="CG17" i="13"/>
  <c r="CD17" i="13"/>
  <c r="CA17" i="13"/>
  <c r="BX17" i="13"/>
  <c r="BU17" i="13"/>
  <c r="BR17" i="13"/>
  <c r="BO17" i="13"/>
  <c r="BL17" i="13"/>
  <c r="BI17" i="13"/>
  <c r="BF17" i="13"/>
  <c r="BC17" i="13"/>
  <c r="AZ17" i="13"/>
  <c r="AW17" i="13"/>
  <c r="AT17" i="13"/>
  <c r="AQ17" i="13"/>
  <c r="AN17" i="13"/>
  <c r="AK17" i="13"/>
  <c r="AH17" i="13"/>
  <c r="AE17" i="13"/>
  <c r="AB17" i="13"/>
  <c r="Y17" i="13"/>
  <c r="V17" i="13"/>
  <c r="S17" i="13"/>
  <c r="P17" i="13"/>
  <c r="M17" i="13"/>
  <c r="J17" i="13"/>
  <c r="G17" i="13"/>
  <c r="D17" i="13"/>
  <c r="CG16" i="13"/>
  <c r="CD16" i="13"/>
  <c r="CA16" i="13"/>
  <c r="BX16" i="13"/>
  <c r="BU16" i="13"/>
  <c r="BR16" i="13"/>
  <c r="BO16" i="13"/>
  <c r="BL16" i="13"/>
  <c r="BI16" i="13"/>
  <c r="BF16" i="13"/>
  <c r="BC16" i="13"/>
  <c r="AZ16" i="13"/>
  <c r="AW16" i="13"/>
  <c r="AT16" i="13"/>
  <c r="AQ16" i="13"/>
  <c r="AN16" i="13"/>
  <c r="AK16" i="13"/>
  <c r="AH16" i="13"/>
  <c r="AE16" i="13"/>
  <c r="AB16" i="13"/>
  <c r="Y16" i="13"/>
  <c r="V16" i="13"/>
  <c r="P16" i="13"/>
  <c r="M16" i="13"/>
  <c r="J16" i="13"/>
  <c r="G16" i="13"/>
  <c r="D16" i="13"/>
  <c r="CG15" i="13"/>
  <c r="CD15" i="13"/>
  <c r="CA15" i="13"/>
  <c r="BX15" i="13"/>
  <c r="BU15" i="13"/>
  <c r="BR15" i="13"/>
  <c r="BO15" i="13"/>
  <c r="BL15" i="13"/>
  <c r="BI15" i="13"/>
  <c r="BF15" i="13"/>
  <c r="BC15" i="13"/>
  <c r="AZ15" i="13"/>
  <c r="AW15" i="13"/>
  <c r="AT15" i="13"/>
  <c r="AQ15" i="13"/>
  <c r="AN15" i="13"/>
  <c r="AK15" i="13"/>
  <c r="AH15" i="13"/>
  <c r="AE15" i="13"/>
  <c r="AB15" i="13"/>
  <c r="Y15" i="13"/>
  <c r="V15" i="13"/>
  <c r="S15" i="13"/>
  <c r="P15" i="13"/>
  <c r="M15" i="13"/>
  <c r="J15" i="13"/>
  <c r="G15" i="13"/>
  <c r="D15" i="13"/>
  <c r="CG14" i="13"/>
  <c r="CD14" i="13"/>
  <c r="CA14" i="13"/>
  <c r="BX14" i="13"/>
  <c r="BU14" i="13"/>
  <c r="BR14" i="13"/>
  <c r="BO14" i="13"/>
  <c r="BL14" i="13"/>
  <c r="BI14" i="13"/>
  <c r="BF14" i="13"/>
  <c r="BC14" i="13"/>
  <c r="AZ14" i="13"/>
  <c r="AW14" i="13"/>
  <c r="AT14" i="13"/>
  <c r="AQ14" i="13"/>
  <c r="AN14" i="13"/>
  <c r="AK14" i="13"/>
  <c r="AH14" i="13"/>
  <c r="AE14" i="13"/>
  <c r="AB14" i="13"/>
  <c r="Y14" i="13"/>
  <c r="V14" i="13"/>
  <c r="P14" i="13"/>
  <c r="M14" i="13"/>
  <c r="J14" i="13"/>
  <c r="G14" i="13"/>
  <c r="D14" i="13"/>
  <c r="CG13" i="13"/>
  <c r="CD13" i="13"/>
  <c r="CA13" i="13"/>
  <c r="BX13" i="13"/>
  <c r="BU13" i="13"/>
  <c r="BR13" i="13"/>
  <c r="BO13" i="13"/>
  <c r="BL13" i="13"/>
  <c r="BI13" i="13"/>
  <c r="BF13" i="13"/>
  <c r="BC13" i="13"/>
  <c r="AZ13" i="13"/>
  <c r="AW13" i="13"/>
  <c r="AT13" i="13"/>
  <c r="AQ13" i="13"/>
  <c r="AN13" i="13"/>
  <c r="AK13" i="13"/>
  <c r="AH13" i="13"/>
  <c r="AE13" i="13"/>
  <c r="AB13" i="13"/>
  <c r="Y13" i="13"/>
  <c r="V13" i="13"/>
  <c r="S13" i="13"/>
  <c r="P13" i="13"/>
  <c r="M13" i="13"/>
  <c r="J13" i="13"/>
  <c r="G13" i="13"/>
  <c r="D13" i="13"/>
  <c r="CG12" i="13"/>
  <c r="CD12" i="13"/>
  <c r="CA12" i="13"/>
  <c r="BX12" i="13"/>
  <c r="BU12" i="13"/>
  <c r="BR12" i="13"/>
  <c r="BO12" i="13"/>
  <c r="BL12" i="13"/>
  <c r="BI12" i="13"/>
  <c r="BF12" i="13"/>
  <c r="BC12" i="13"/>
  <c r="AZ12" i="13"/>
  <c r="AW12" i="13"/>
  <c r="AT12" i="13"/>
  <c r="AQ12" i="13"/>
  <c r="AN12" i="13"/>
  <c r="AK12" i="13"/>
  <c r="AH12" i="13"/>
  <c r="AE12" i="13"/>
  <c r="AB12" i="13"/>
  <c r="Y12" i="13"/>
  <c r="V12" i="13"/>
  <c r="P12" i="13"/>
  <c r="M12" i="13"/>
  <c r="J12" i="13"/>
  <c r="G12" i="13"/>
  <c r="D12" i="13"/>
  <c r="CG11" i="13"/>
  <c r="CD11" i="13"/>
  <c r="CA11" i="13"/>
  <c r="BX11" i="13"/>
  <c r="BU11" i="13"/>
  <c r="BR11" i="13"/>
  <c r="BO11" i="13"/>
  <c r="BL11" i="13"/>
  <c r="BI11" i="13"/>
  <c r="BF11" i="13"/>
  <c r="BC11" i="13"/>
  <c r="AZ11" i="13"/>
  <c r="AW11" i="13"/>
  <c r="AT11" i="13"/>
  <c r="AQ11" i="13"/>
  <c r="AN11" i="13"/>
  <c r="AK11" i="13"/>
  <c r="AH11" i="13"/>
  <c r="AE11" i="13"/>
  <c r="AB11" i="13"/>
  <c r="Y11" i="13"/>
  <c r="V11" i="13"/>
  <c r="S11" i="13"/>
  <c r="P11" i="13"/>
  <c r="M11" i="13"/>
  <c r="J11" i="13"/>
  <c r="G11" i="13"/>
  <c r="D11" i="13"/>
  <c r="CG10" i="13"/>
  <c r="CD10" i="13"/>
  <c r="CA10" i="13"/>
  <c r="BX10" i="13"/>
  <c r="BU10" i="13"/>
  <c r="BR10" i="13"/>
  <c r="BO10" i="13"/>
  <c r="BL10" i="13"/>
  <c r="BI10" i="13"/>
  <c r="BF10" i="13"/>
  <c r="BC10" i="13"/>
  <c r="AZ10" i="13"/>
  <c r="AW10" i="13"/>
  <c r="AT10" i="13"/>
  <c r="AQ10" i="13"/>
  <c r="AN10" i="13"/>
  <c r="AK10" i="13"/>
  <c r="AH10" i="13"/>
  <c r="AE10" i="13"/>
  <c r="AB10" i="13"/>
  <c r="Y10" i="13"/>
  <c r="V10" i="13"/>
  <c r="P10" i="13"/>
  <c r="M10" i="13"/>
  <c r="J10" i="13"/>
  <c r="G10" i="13"/>
  <c r="D10" i="13"/>
  <c r="CG9" i="13"/>
  <c r="CD9" i="13"/>
  <c r="CA9" i="13"/>
  <c r="BX9" i="13"/>
  <c r="BU9" i="13"/>
  <c r="BR9" i="13"/>
  <c r="BO9" i="13"/>
  <c r="BL9" i="13"/>
  <c r="BI9" i="13"/>
  <c r="BF9" i="13"/>
  <c r="BC9" i="13"/>
  <c r="AZ9" i="13"/>
  <c r="AW9" i="13"/>
  <c r="AT9" i="13"/>
  <c r="AQ9" i="13"/>
  <c r="AN9" i="13"/>
  <c r="AK9" i="13"/>
  <c r="AH9" i="13"/>
  <c r="AE9" i="13"/>
  <c r="AB9" i="13"/>
  <c r="Y9" i="13"/>
  <c r="V9" i="13"/>
  <c r="S9" i="13"/>
  <c r="P9" i="13"/>
  <c r="M9" i="13"/>
  <c r="J9" i="13"/>
  <c r="G9" i="13"/>
  <c r="D9" i="13"/>
  <c r="CG8" i="13"/>
  <c r="CD8" i="13"/>
  <c r="CA8" i="13"/>
  <c r="BX8" i="13"/>
  <c r="BU8" i="13"/>
  <c r="BR8" i="13"/>
  <c r="BO8" i="13"/>
  <c r="BL8" i="13"/>
  <c r="BI8" i="13"/>
  <c r="BF8" i="13"/>
  <c r="BC8" i="13"/>
  <c r="AZ8" i="13"/>
  <c r="AW8" i="13"/>
  <c r="AT8" i="13"/>
  <c r="AQ8" i="13"/>
  <c r="AN8" i="13"/>
  <c r="AK8" i="13"/>
  <c r="AH8" i="13"/>
  <c r="AE8" i="13"/>
  <c r="AB8" i="13"/>
  <c r="Y8" i="13"/>
  <c r="V8" i="13"/>
  <c r="P8" i="13"/>
  <c r="M8" i="13"/>
  <c r="J8" i="13"/>
  <c r="G8" i="13"/>
  <c r="D8" i="13"/>
  <c r="CG7" i="13"/>
  <c r="CD7" i="13"/>
  <c r="CA7" i="13"/>
  <c r="BX7" i="13"/>
  <c r="BU7" i="13"/>
  <c r="BR7" i="13"/>
  <c r="BO7" i="13"/>
  <c r="BL7" i="13"/>
  <c r="BI7" i="13"/>
  <c r="BF7" i="13"/>
  <c r="BC7" i="13"/>
  <c r="AZ7" i="13"/>
  <c r="AW7" i="13"/>
  <c r="AT7" i="13"/>
  <c r="AQ7" i="13"/>
  <c r="AN7" i="13"/>
  <c r="AK7" i="13"/>
  <c r="AH7" i="13"/>
  <c r="AE7" i="13"/>
  <c r="AB7" i="13"/>
  <c r="Y7" i="13"/>
  <c r="V7" i="13"/>
  <c r="S7" i="13"/>
  <c r="P7" i="13"/>
  <c r="M7" i="13"/>
  <c r="J7" i="13"/>
  <c r="G7" i="13"/>
  <c r="D7" i="13"/>
  <c r="CG6" i="13"/>
  <c r="CD6" i="13"/>
  <c r="CA6" i="13"/>
  <c r="BX6" i="13"/>
  <c r="BU6" i="13"/>
  <c r="BR6" i="13"/>
  <c r="BO6" i="13"/>
  <c r="BL6" i="13"/>
  <c r="BI6" i="13"/>
  <c r="BF6" i="13"/>
  <c r="BC6" i="13"/>
  <c r="AZ6" i="13"/>
  <c r="AW6" i="13"/>
  <c r="AT6" i="13"/>
  <c r="AQ6" i="13"/>
  <c r="AN6" i="13"/>
  <c r="AK6" i="13"/>
  <c r="AH6" i="13"/>
  <c r="AE6" i="13"/>
  <c r="AB6" i="13"/>
  <c r="Y6" i="13"/>
  <c r="V6" i="13"/>
  <c r="S6" i="13"/>
  <c r="P6" i="13"/>
  <c r="M6" i="13"/>
  <c r="J6" i="13"/>
  <c r="G6" i="13"/>
  <c r="CG5" i="13"/>
  <c r="CD5" i="13"/>
  <c r="CA5" i="13"/>
  <c r="BX5" i="13"/>
  <c r="BU5" i="13"/>
  <c r="BR5" i="13"/>
  <c r="BO5" i="13"/>
  <c r="BL5" i="13"/>
  <c r="BI5" i="13"/>
  <c r="BF5" i="13"/>
  <c r="BC5" i="13"/>
  <c r="AZ5" i="13"/>
  <c r="AW5" i="13"/>
  <c r="AT5" i="13"/>
  <c r="AQ5" i="13"/>
  <c r="AN5" i="13"/>
  <c r="AK5" i="13"/>
  <c r="AH5" i="13"/>
  <c r="AE5" i="13"/>
  <c r="AB5" i="13"/>
  <c r="Y5" i="13"/>
  <c r="V5" i="13"/>
  <c r="P5" i="13"/>
  <c r="M5" i="13"/>
  <c r="J5" i="13"/>
  <c r="G5" i="13"/>
  <c r="D5" i="13"/>
  <c r="CG4" i="13"/>
  <c r="CD4" i="13"/>
  <c r="CA4" i="13"/>
  <c r="BX4" i="13"/>
  <c r="BU4" i="13"/>
  <c r="BR4" i="13"/>
  <c r="BO4" i="13"/>
  <c r="BL4" i="13"/>
  <c r="BI4" i="13"/>
  <c r="BF4" i="13"/>
  <c r="BC4" i="13"/>
  <c r="AZ4" i="13"/>
  <c r="AW4" i="13"/>
  <c r="AT4" i="13"/>
  <c r="AQ4" i="13"/>
  <c r="AN4" i="13"/>
  <c r="AK4" i="13"/>
  <c r="AH4" i="13"/>
  <c r="AE4" i="13"/>
  <c r="AB4" i="13"/>
  <c r="Y4" i="13"/>
  <c r="V4" i="13"/>
  <c r="P4" i="13"/>
  <c r="M4" i="13"/>
  <c r="J4" i="13"/>
  <c r="G4" i="13"/>
  <c r="D4" i="13"/>
  <c r="CE3" i="13"/>
  <c r="CB3" i="13"/>
  <c r="BY3" i="13"/>
  <c r="BV3" i="13"/>
  <c r="BS3" i="13"/>
  <c r="BP3" i="13"/>
  <c r="BM3" i="13"/>
  <c r="BJ3" i="13"/>
  <c r="BH3" i="13"/>
  <c r="BD3" i="13"/>
  <c r="BA3" i="13"/>
  <c r="AX3" i="13"/>
  <c r="AU3" i="13"/>
  <c r="AR3" i="13"/>
  <c r="AO3" i="13"/>
  <c r="AL3" i="13"/>
  <c r="AI3" i="13"/>
  <c r="AF3" i="13"/>
  <c r="AC3" i="13"/>
  <c r="Z3" i="13"/>
  <c r="W3" i="13"/>
  <c r="T3" i="13"/>
  <c r="Q3" i="13"/>
  <c r="N3" i="13"/>
  <c r="K3" i="13"/>
  <c r="J3" i="13"/>
  <c r="I3" i="13"/>
  <c r="H3" i="13"/>
  <c r="G3" i="13"/>
  <c r="F3" i="13"/>
  <c r="E3" i="13"/>
  <c r="D3" i="13"/>
  <c r="C3" i="13"/>
  <c r="B3" i="13"/>
  <c r="CF2" i="13"/>
  <c r="CC2" i="13"/>
  <c r="BZ2" i="13"/>
  <c r="BW2" i="13"/>
  <c r="BT2" i="13"/>
  <c r="BQ2" i="13"/>
  <c r="BN2" i="13"/>
  <c r="BK2" i="13"/>
  <c r="BI2" i="13"/>
  <c r="BI3" i="13" s="1"/>
  <c r="BG2" i="13"/>
  <c r="BG3" i="13" s="1"/>
  <c r="BE2" i="13"/>
  <c r="BB2" i="13"/>
  <c r="AY2" i="13"/>
  <c r="AV2" i="13"/>
  <c r="AS2" i="13"/>
  <c r="AP2" i="13"/>
  <c r="AM2" i="13"/>
  <c r="AJ2" i="13"/>
  <c r="AG2" i="13"/>
  <c r="AD2" i="13"/>
  <c r="AA2" i="13"/>
  <c r="X2" i="13"/>
  <c r="U2" i="13"/>
  <c r="S2" i="13"/>
  <c r="S3" i="13" s="1"/>
  <c r="R2" i="13"/>
  <c r="R3" i="13" s="1"/>
  <c r="O2" i="13"/>
  <c r="L2" i="13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N3" i="8"/>
  <c r="CO3" i="8"/>
  <c r="CP3" i="8"/>
  <c r="CQ3" i="8"/>
  <c r="CR3" i="8"/>
  <c r="CS3" i="8"/>
  <c r="CT3" i="8"/>
  <c r="CU3" i="8"/>
  <c r="CV3" i="8"/>
  <c r="CW3" i="8"/>
  <c r="CX3" i="8"/>
  <c r="DX3" i="8"/>
  <c r="U3" i="8"/>
  <c r="T3" i="8"/>
  <c r="GK3" i="8"/>
  <c r="GJ3" i="8"/>
  <c r="GI3" i="8"/>
  <c r="GH3" i="8"/>
  <c r="GG3" i="8"/>
  <c r="GF3" i="8"/>
  <c r="GE3" i="8"/>
  <c r="GD3" i="8"/>
  <c r="GC3" i="8"/>
  <c r="GB3" i="8"/>
  <c r="GA3" i="8"/>
  <c r="FZ3" i="8"/>
  <c r="FY3" i="8"/>
  <c r="FX3" i="8"/>
  <c r="FW3" i="8"/>
  <c r="FV3" i="8"/>
  <c r="FU3" i="8"/>
  <c r="FT3" i="8"/>
  <c r="FS3" i="8"/>
  <c r="FR3" i="8"/>
  <c r="FQ3" i="8"/>
  <c r="FP3" i="8"/>
  <c r="FO3" i="8"/>
  <c r="FN3" i="8"/>
  <c r="FM3" i="8"/>
  <c r="FL3" i="8"/>
  <c r="FK3" i="8"/>
  <c r="FJ3" i="8"/>
  <c r="FI3" i="8"/>
  <c r="FH3" i="8"/>
  <c r="FG3" i="8"/>
  <c r="FF3" i="8"/>
  <c r="FE3" i="8"/>
  <c r="BD3" i="8"/>
  <c r="BF3" i="8"/>
  <c r="BC3" i="8"/>
  <c r="BA3" i="8"/>
  <c r="AY3" i="8"/>
  <c r="AX3" i="8"/>
  <c r="AW3" i="8"/>
  <c r="AV3" i="8"/>
  <c r="AU3" i="8"/>
  <c r="AT3" i="8"/>
  <c r="AS3" i="8"/>
  <c r="AR3" i="8"/>
  <c r="AQ3" i="8"/>
  <c r="G3" i="8"/>
  <c r="FB3" i="8"/>
  <c r="EV3" i="8"/>
  <c r="EP3" i="8"/>
  <c r="EQ3" i="8"/>
  <c r="EJ3" i="8"/>
  <c r="ED3" i="8"/>
  <c r="GU3" i="8"/>
  <c r="GT3" i="8"/>
  <c r="GS3" i="8"/>
  <c r="GR3" i="8"/>
  <c r="GQ3" i="8"/>
  <c r="GP3" i="8"/>
  <c r="GO3" i="8"/>
  <c r="GN3" i="8"/>
  <c r="GM3" i="8"/>
  <c r="GL3" i="8"/>
  <c r="FD3" i="8"/>
  <c r="FC3" i="8"/>
  <c r="EW3" i="8"/>
  <c r="FA3" i="8"/>
  <c r="EZ3" i="8"/>
  <c r="EY3" i="8"/>
  <c r="EX3" i="8"/>
  <c r="EU3" i="8"/>
  <c r="ET3" i="8"/>
  <c r="ES3" i="8"/>
  <c r="ER3" i="8"/>
  <c r="EO3" i="8"/>
  <c r="EN3" i="8"/>
  <c r="EM3" i="8"/>
  <c r="EL3" i="8"/>
  <c r="EK3" i="8"/>
  <c r="EI3" i="8"/>
  <c r="EH3" i="8"/>
  <c r="EG3" i="8"/>
  <c r="EF3" i="8"/>
  <c r="EE3" i="8"/>
  <c r="EC3" i="8"/>
  <c r="EB3" i="8"/>
  <c r="EA3" i="8"/>
  <c r="DZ3" i="8"/>
  <c r="DY3" i="8"/>
  <c r="CM3" i="8"/>
  <c r="CL3" i="8"/>
  <c r="CK3" i="8"/>
  <c r="CJ3" i="8"/>
  <c r="CI3" i="8"/>
  <c r="CH3" i="8"/>
  <c r="CC3" i="8"/>
  <c r="CG3" i="8"/>
  <c r="CF3" i="8"/>
  <c r="CE3" i="8"/>
  <c r="CD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E3" i="8"/>
  <c r="BB3" i="8"/>
  <c r="AZ3" i="8"/>
  <c r="AP3" i="8"/>
  <c r="AO3" i="8"/>
  <c r="AN3" i="8"/>
  <c r="AM3" i="8"/>
  <c r="AL3" i="8"/>
  <c r="AK3" i="8"/>
  <c r="AJ3" i="8"/>
  <c r="AI3" i="8"/>
  <c r="AH3" i="8"/>
  <c r="AG3" i="8"/>
  <c r="AF3" i="8"/>
  <c r="AE3" i="8"/>
  <c r="AC3" i="8"/>
  <c r="AD3" i="8"/>
  <c r="AB3" i="8"/>
  <c r="AA3" i="8"/>
  <c r="Z3" i="8"/>
  <c r="Y3" i="8"/>
  <c r="X3" i="8"/>
  <c r="W3" i="8"/>
  <c r="V3" i="8"/>
  <c r="S3" i="8"/>
  <c r="R3" i="8"/>
  <c r="Q3" i="8"/>
  <c r="P3" i="8"/>
  <c r="O3" i="8"/>
  <c r="N3" i="8"/>
  <c r="M3" i="8"/>
  <c r="L3" i="8"/>
  <c r="K3" i="8"/>
  <c r="J3" i="8"/>
  <c r="I3" i="8"/>
  <c r="H3" i="8"/>
  <c r="F3" i="8"/>
  <c r="E3" i="8"/>
  <c r="D3" i="8"/>
  <c r="C3" i="8"/>
  <c r="B3" i="8"/>
  <c r="A3" i="8"/>
  <c r="CG2" i="13" l="1"/>
  <c r="CG3" i="13" s="1"/>
  <c r="CF3" i="13"/>
  <c r="CD2" i="13"/>
  <c r="CD3" i="13" s="1"/>
  <c r="CC3" i="13"/>
  <c r="CA2" i="13"/>
  <c r="CA3" i="13" s="1"/>
  <c r="BZ3" i="13"/>
  <c r="BX2" i="13"/>
  <c r="BX3" i="13" s="1"/>
  <c r="BW3" i="13"/>
  <c r="BT3" i="13"/>
  <c r="BU2" i="13"/>
  <c r="BU3" i="13" s="1"/>
  <c r="BQ3" i="13"/>
  <c r="BR2" i="13"/>
  <c r="BR3" i="13" s="1"/>
  <c r="BN3" i="13"/>
  <c r="BO2" i="13"/>
  <c r="BO3" i="13" s="1"/>
  <c r="BK3" i="13"/>
  <c r="BL2" i="13"/>
  <c r="BL3" i="13" s="1"/>
  <c r="BE3" i="13"/>
  <c r="BF2" i="13"/>
  <c r="BF3" i="13" s="1"/>
  <c r="BB3" i="13"/>
  <c r="BC2" i="13"/>
  <c r="BC3" i="13" s="1"/>
  <c r="AY3" i="13"/>
  <c r="AZ2" i="13"/>
  <c r="AZ3" i="13" s="1"/>
  <c r="AW2" i="13"/>
  <c r="AW3" i="13" s="1"/>
  <c r="AV3" i="13"/>
  <c r="AT2" i="13"/>
  <c r="AT3" i="13" s="1"/>
  <c r="AS3" i="13"/>
  <c r="AQ2" i="13"/>
  <c r="AQ3" i="13" s="1"/>
  <c r="AP3" i="13"/>
  <c r="AN2" i="13"/>
  <c r="AN3" i="13" s="1"/>
  <c r="AM3" i="13"/>
  <c r="AK2" i="13"/>
  <c r="AK3" i="13" s="1"/>
  <c r="AJ3" i="13"/>
  <c r="AH2" i="13"/>
  <c r="AH3" i="13" s="1"/>
  <c r="AG3" i="13"/>
  <c r="AE2" i="13"/>
  <c r="AE3" i="13" s="1"/>
  <c r="AD3" i="13"/>
  <c r="AB2" i="13"/>
  <c r="AB3" i="13" s="1"/>
  <c r="AA3" i="13"/>
  <c r="Y2" i="13"/>
  <c r="Y3" i="13" s="1"/>
  <c r="X3" i="13"/>
  <c r="V2" i="13"/>
  <c r="V3" i="13" s="1"/>
  <c r="U3" i="13"/>
  <c r="O3" i="13"/>
  <c r="P2" i="13"/>
  <c r="P3" i="13" s="1"/>
  <c r="L3" i="13"/>
  <c r="M2" i="13"/>
  <c r="M3" i="13" s="1"/>
</calcChain>
</file>

<file path=xl/sharedStrings.xml><?xml version="1.0" encoding="utf-8"?>
<sst xmlns="http://schemas.openxmlformats.org/spreadsheetml/2006/main" count="12454" uniqueCount="613">
  <si>
    <t>Target audience</t>
  </si>
  <si>
    <t>Guidance goals</t>
  </si>
  <si>
    <t>Health protective action: wildfire smoke</t>
  </si>
  <si>
    <t>Potential benefits of health protective action</t>
  </si>
  <si>
    <t>Potential burdens of health protective action</t>
  </si>
  <si>
    <t>Effect size(s) of health protective action</t>
  </si>
  <si>
    <t>Quality of evidence</t>
  </si>
  <si>
    <t>Author and author statement</t>
  </si>
  <si>
    <t>Indicates whether the document describes the authors of the guidance at the individual level</t>
  </si>
  <si>
    <t>Indicates whether document includes a qualitative description of the potential benefits of one or more health protective actions in the context of WFS</t>
  </si>
  <si>
    <t>Indicates whether document includes a qualitative description of the potential burdens of one or more health protective actions in the context of WFS</t>
  </si>
  <si>
    <t>Indicates whether document includes a quantitative estimate of the benefit(s) of one or more health protective actions in the context of WFS</t>
  </si>
  <si>
    <t>Indicates whether document describes the quality of the scientific evidence in support of (and/or scientists' confidence in the estimates of) the benefit(s) of one or more health protective actions in the context of WFS</t>
  </si>
  <si>
    <t xml:space="preserve">Language </t>
  </si>
  <si>
    <t>Indicates whether document is available in a languages other than English</t>
  </si>
  <si>
    <t>References specific scientific publications</t>
  </si>
  <si>
    <t>Indicates whether the document references one or more scientific publications, i.e., provides enough information to identify a specific scientific study</t>
  </si>
  <si>
    <t>Development process</t>
  </si>
  <si>
    <t xml:space="preserve">Indicates whether the document describes its development process </t>
  </si>
  <si>
    <t>Yes/No: Reduce outdoor exercise</t>
  </si>
  <si>
    <t>Yes/No: Wear a mask</t>
  </si>
  <si>
    <t>Yes/No: Use air cleaner/purifier</t>
  </si>
  <si>
    <t>Yes/No: Use HEPA filter</t>
  </si>
  <si>
    <t>Yes/No: Run HVAC/central heating continuously</t>
  </si>
  <si>
    <t>Yes/No: Specifies with doors and windows closed</t>
  </si>
  <si>
    <t>Yes/No: KN95</t>
  </si>
  <si>
    <t>Yes/No: N95</t>
  </si>
  <si>
    <t>Yes/No: Respirator</t>
  </si>
  <si>
    <t>Yes/No: Surgical mask</t>
  </si>
  <si>
    <t>1.X</t>
  </si>
  <si>
    <t>1.X.X</t>
  </si>
  <si>
    <t>1.X.X.X</t>
  </si>
  <si>
    <t>Yes/No: AGAINST certain type of mask</t>
  </si>
  <si>
    <t>Yes/No: Specifies monitor type</t>
  </si>
  <si>
    <t>Yes/No: Specifies action to take based on air monitor results</t>
  </si>
  <si>
    <t>Yes/No: Specifies how to check outdoor air quality</t>
  </si>
  <si>
    <t>Yes/No: Specifies actions to take based on outdoor air quality</t>
  </si>
  <si>
    <t>1.1.1</t>
  </si>
  <si>
    <t>STR: Records filter type</t>
  </si>
  <si>
    <t>Yes/No: Records filter type</t>
  </si>
  <si>
    <t>STR: Against certain type of mask</t>
  </si>
  <si>
    <t>STR: Monitor type</t>
  </si>
  <si>
    <t>STR: Recommended action based on air quality</t>
  </si>
  <si>
    <t>1.1.2</t>
  </si>
  <si>
    <t>1.3.1</t>
  </si>
  <si>
    <t>1.4.1</t>
  </si>
  <si>
    <t>Yes/No: Specifies government source for air quality</t>
  </si>
  <si>
    <t>STR: Recommended action based on outdoor air quality</t>
  </si>
  <si>
    <t>Yes/No: FireSmoke</t>
  </si>
  <si>
    <t>Yes/No: ECCC/Weather Canada</t>
  </si>
  <si>
    <t>Yes/No: Purple air</t>
  </si>
  <si>
    <t>Yes/No: BC Government</t>
  </si>
  <si>
    <t>Yes/No: IQair</t>
  </si>
  <si>
    <t xml:space="preserve">Yes/No: Specifies crowdsource/commercial source for air quality </t>
  </si>
  <si>
    <t>1.X.X.X.X</t>
  </si>
  <si>
    <t>1.1.1.1</t>
  </si>
  <si>
    <t>1.1.2.1</t>
  </si>
  <si>
    <t>1.X.X.X.X.X</t>
  </si>
  <si>
    <t>1.1.2.1.1</t>
  </si>
  <si>
    <t>Yes/No: Filter air (specify)</t>
  </si>
  <si>
    <t>Yes/No: Check air quality</t>
  </si>
  <si>
    <r>
      <t xml:space="preserve">Indicates whether the document includes an </t>
    </r>
    <r>
      <rPr>
        <sz val="12"/>
        <color theme="1"/>
        <rFont val="Calibri (Body)"/>
      </rPr>
      <t>explicit</t>
    </r>
    <r>
      <rPr>
        <sz val="12"/>
        <color theme="1"/>
        <rFont val="Calibri"/>
        <family val="2"/>
        <scheme val="minor"/>
      </rPr>
      <t xml:space="preserve"> statement of the population group(s) to whom the document is directed</t>
    </r>
  </si>
  <si>
    <t>Yes/No: General population</t>
  </si>
  <si>
    <t>2.X</t>
  </si>
  <si>
    <t>3.X</t>
  </si>
  <si>
    <t>4.X</t>
  </si>
  <si>
    <t>Year of publication (YYYY)</t>
  </si>
  <si>
    <t>5.X</t>
  </si>
  <si>
    <t>6.X</t>
  </si>
  <si>
    <t>7.X</t>
  </si>
  <si>
    <t>7.X.X</t>
  </si>
  <si>
    <t>8.X</t>
  </si>
  <si>
    <t>8.X.X</t>
  </si>
  <si>
    <t>9.X</t>
  </si>
  <si>
    <t>9.X.X</t>
  </si>
  <si>
    <t>10.X</t>
  </si>
  <si>
    <t>10.X.X</t>
  </si>
  <si>
    <t>11.X</t>
  </si>
  <si>
    <t>4.3.1</t>
  </si>
  <si>
    <t>STR: Record what additional information is provided: include here whether authors include patients/members of public</t>
  </si>
  <si>
    <t>Yes/No: is an explicit statement of guidance goal(s) present?</t>
  </si>
  <si>
    <t>Yes/No: Does the document does describe its development process</t>
  </si>
  <si>
    <t>Yes/No: Is the document available in language(s) other than English?</t>
  </si>
  <si>
    <t>6.6.1</t>
  </si>
  <si>
    <t>STR: Record other language</t>
  </si>
  <si>
    <t>Yes/No: potential benefits of HEPA air filter</t>
  </si>
  <si>
    <t>Yes/No: potential benefits of DIY air filter</t>
  </si>
  <si>
    <t>Yes/No: potential benefits of staying indoors</t>
  </si>
  <si>
    <t>Yes/No: potential benefits of reducing outdoor exercise</t>
  </si>
  <si>
    <t>Yes/No: potential benefits of wearing a mask</t>
  </si>
  <si>
    <t xml:space="preserve">Yes/No: potential benefits of another action </t>
  </si>
  <si>
    <t>7.1.1</t>
  </si>
  <si>
    <t>7.1.2</t>
  </si>
  <si>
    <t>7.1.3</t>
  </si>
  <si>
    <t>7.1.4</t>
  </si>
  <si>
    <t>7.2.1</t>
  </si>
  <si>
    <t>7.2.2</t>
  </si>
  <si>
    <t>7.2.3</t>
  </si>
  <si>
    <t>7.2.4</t>
  </si>
  <si>
    <t>7.3.1</t>
  </si>
  <si>
    <t>7.3.2</t>
  </si>
  <si>
    <t>7.3.3</t>
  </si>
  <si>
    <t>7.3.4</t>
  </si>
  <si>
    <t>7.4.1</t>
  </si>
  <si>
    <t>7.4.2</t>
  </si>
  <si>
    <t>7.4.3</t>
  </si>
  <si>
    <t>7.4.4</t>
  </si>
  <si>
    <t>7.5.1</t>
  </si>
  <si>
    <t>7.5.2</t>
  </si>
  <si>
    <t>7.5.3</t>
  </si>
  <si>
    <t>7.5.4</t>
  </si>
  <si>
    <t>7.6.1</t>
  </si>
  <si>
    <t>Yes/No: HEPA filter: improves indoor air quality</t>
  </si>
  <si>
    <t>Yes/No: HEPA filter: improves lung health outcomes</t>
  </si>
  <si>
    <t>Yes/No: HEPA filter: improves other health outcomes</t>
  </si>
  <si>
    <t>Yes/No: HEPA filter: other potential benefit</t>
  </si>
  <si>
    <t>Yes/No: DIY air filter: Improves indoor air quality</t>
  </si>
  <si>
    <t>Yes/No: DIY air filter: Improves lung health outcomes</t>
  </si>
  <si>
    <t>Yes/No: DIY: Improves other health outcomes</t>
  </si>
  <si>
    <t>Yes/No: DIY air filter: Other potential benefits</t>
  </si>
  <si>
    <t>Yes/No: Stay indoors: reduces exposure to WFS</t>
  </si>
  <si>
    <t>Yes/No: Stay indoors: improves lung health outcomes</t>
  </si>
  <si>
    <t>Yes/No: Stay indoors: improves other health outcomes</t>
  </si>
  <si>
    <t>Yes/No: Stay indoors: other potential benefits</t>
  </si>
  <si>
    <t>Yes/No: Reduce outdoor exercise: reduces inhalation of WFS</t>
  </si>
  <si>
    <t>Yes/No: Reduce outdoor exercise: improves lung health outcomes</t>
  </si>
  <si>
    <t>Yes/No: Reduce outdoor exercise: improves other health outcomes</t>
  </si>
  <si>
    <t>Yes/No: Reduce outdoor exercise: other potential benefits</t>
  </si>
  <si>
    <t>Yes/No: Mask: reduces inhalation of WFS</t>
  </si>
  <si>
    <t>Yes/No: Mask: improves lung health outcomes</t>
  </si>
  <si>
    <t>Yes/No: Mask: improves other health outcomes</t>
  </si>
  <si>
    <t>Yes/No: Mask: other potential benefits</t>
  </si>
  <si>
    <t>Yes/No: French</t>
  </si>
  <si>
    <t>Yes/No: Hindi</t>
  </si>
  <si>
    <t>Yes/No: Other</t>
  </si>
  <si>
    <t>Yes/No: potential burdens of HEPA air filter</t>
  </si>
  <si>
    <t>Yes/No: potential burdens of DIY air filter</t>
  </si>
  <si>
    <t>Yes/No: potential burdens of staying indoors</t>
  </si>
  <si>
    <t>Yes/No: potential burdens of reducing outdoor exercise</t>
  </si>
  <si>
    <t>Yes/No: potential burdens of wearing a mask</t>
  </si>
  <si>
    <t xml:space="preserve">Yes/No: potential burdens of another action </t>
  </si>
  <si>
    <t>8.1.1</t>
  </si>
  <si>
    <t>8.1.2</t>
  </si>
  <si>
    <t>8.1.3</t>
  </si>
  <si>
    <t>8.1.4</t>
  </si>
  <si>
    <t>8.2.1</t>
  </si>
  <si>
    <t>8.2.2</t>
  </si>
  <si>
    <t>8.2.3</t>
  </si>
  <si>
    <t>8.2.4</t>
  </si>
  <si>
    <t>8.3.1</t>
  </si>
  <si>
    <t>8.3.2</t>
  </si>
  <si>
    <t>8.3.3</t>
  </si>
  <si>
    <t>8.4.1</t>
  </si>
  <si>
    <t>8.4.2</t>
  </si>
  <si>
    <t>8.4.3</t>
  </si>
  <si>
    <t>8.5.1</t>
  </si>
  <si>
    <t>8.5.2</t>
  </si>
  <si>
    <t>8.5.3</t>
  </si>
  <si>
    <t>8.6.1</t>
  </si>
  <si>
    <t>STR: Specify what other potential burdens are described</t>
  </si>
  <si>
    <t>Yes/No: HEPA filter: upfront cost (monetary)</t>
  </si>
  <si>
    <t>Yes/No: HEPA filter: maintenance cost (monetary)</t>
  </si>
  <si>
    <t>Yes/No: HEPA filter: inconvenience (e.g., noise, draft, space required, transport of machine)</t>
  </si>
  <si>
    <t>Yes/No: HEPA filter: other potential burdens</t>
  </si>
  <si>
    <t>Yes/No: DIY air filter: upfront cost</t>
  </si>
  <si>
    <t>Yes/No: DIY air filter: maintenance cost</t>
  </si>
  <si>
    <t>Yes/No: DIY air filter: inconvenience (e.g., noise, draft, space required, transport of machine)</t>
  </si>
  <si>
    <t>Yes/No: DIY air filter: Other potential burdens</t>
  </si>
  <si>
    <t>Yes/No: Stay indoors: negative impact on work</t>
  </si>
  <si>
    <t>Yes/No: Stay indoors: negative impact on well-being</t>
  </si>
  <si>
    <t>Yes/No: Stay indoors: other potential burdens</t>
  </si>
  <si>
    <t>Yes/No: Reduce outdoor exercise: negative impact on work</t>
  </si>
  <si>
    <t>Yes/No: Reduce outdoor exercise: negative impact on well-being</t>
  </si>
  <si>
    <t>Yes/No: Mask: negative impact on work</t>
  </si>
  <si>
    <t>Yes/No: Mask: negative impact on well-being</t>
  </si>
  <si>
    <t>Yes/No: Mask: other potential burdens</t>
  </si>
  <si>
    <t>Yes/No: Are burdens of protective actions described?</t>
  </si>
  <si>
    <t>Yes/No: Are magnitudes of effect described?</t>
  </si>
  <si>
    <t>9.1.1</t>
  </si>
  <si>
    <t>9.1.2</t>
  </si>
  <si>
    <t>9.1.3</t>
  </si>
  <si>
    <t>9.1.4</t>
  </si>
  <si>
    <t>9.2.1</t>
  </si>
  <si>
    <t>9.2.2</t>
  </si>
  <si>
    <t>9.2.3</t>
  </si>
  <si>
    <t>9.2.4</t>
  </si>
  <si>
    <t>9.3.1</t>
  </si>
  <si>
    <t>9.3.2</t>
  </si>
  <si>
    <t>9.3.3</t>
  </si>
  <si>
    <t>9.3.4</t>
  </si>
  <si>
    <t>9.4.1</t>
  </si>
  <si>
    <t>9.4.2</t>
  </si>
  <si>
    <t>9.4.3</t>
  </si>
  <si>
    <t>9.4.4</t>
  </si>
  <si>
    <t>9.5.1</t>
  </si>
  <si>
    <t>9.5.2</t>
  </si>
  <si>
    <t>9.5.3</t>
  </si>
  <si>
    <t>9.5.4</t>
  </si>
  <si>
    <t>9.6.1</t>
  </si>
  <si>
    <t>STR: Specify what other effect size(s) are described</t>
  </si>
  <si>
    <t>Yes/No: Is the quality of scientific evidence described?</t>
  </si>
  <si>
    <t>10.6.1</t>
  </si>
  <si>
    <t>STR: Specify what other evidence is described in terms of quality</t>
  </si>
  <si>
    <t>Yes/No: quality of evidence supporting HEPA air filter</t>
  </si>
  <si>
    <t>Yes/No: quality of evidence supporting DIY air filter</t>
  </si>
  <si>
    <t>Yes/No: quality of evidence supporting staying indoors</t>
  </si>
  <si>
    <t>Yes/No: quality of evidence supporting wearing a mask</t>
  </si>
  <si>
    <t xml:space="preserve">Yes/No: quality of evidence supporting of another action </t>
  </si>
  <si>
    <t>Yes/No: quality of evidence supporting reducing outdoor exercise</t>
  </si>
  <si>
    <t>Yes/No: effect size of DIY air filter</t>
  </si>
  <si>
    <t>Yes/No: effect size of staying indoors</t>
  </si>
  <si>
    <t>Yes/No: effect size of reducing outdoor exercise</t>
  </si>
  <si>
    <t>Yes/No: effect size of wearing a mask</t>
  </si>
  <si>
    <t xml:space="preserve">Yes/No: effect size of another action </t>
  </si>
  <si>
    <t xml:space="preserve">Yes/No: HEPA filter: improves indoor air quality by X </t>
  </si>
  <si>
    <t>Yes/No: HEPA filter: improves lung health outcomes by X</t>
  </si>
  <si>
    <t>Yes/No: HEPA filter: improves other health outcomes by X</t>
  </si>
  <si>
    <t>Yes/No: HEPA filter: other potential benefit X</t>
  </si>
  <si>
    <t>Yes/No: DIY air filter: Improves indoor air quality by X</t>
  </si>
  <si>
    <t>Yes/No: DIY air filter: Improves lung health outcomes by X</t>
  </si>
  <si>
    <t>Yes/No: DIY: Improves other health outcomes by X</t>
  </si>
  <si>
    <t>Yes/No: DIY air filter: Other potential benefits X</t>
  </si>
  <si>
    <t>Yes/No: Stay indoors: reduces exposure to WFS by X</t>
  </si>
  <si>
    <t>Yes/No: Stay indoors: improves lung health outcomes by X</t>
  </si>
  <si>
    <t>Yes/No: Stay indoors: improves other health outcomes by X</t>
  </si>
  <si>
    <t>Yes/No: Stay indoors: other potential benefits X</t>
  </si>
  <si>
    <t>Yes/No: Reduce outdoor exercise: reduces inhalation of WFS by X</t>
  </si>
  <si>
    <t>Yes/No: Reduce outdoor exercise: improves lung health outcomes by X</t>
  </si>
  <si>
    <t>Yes/No: Reduce outdoor exercise: improves other health outcomes by X</t>
  </si>
  <si>
    <t>Yes/No: Reduce outdoor exercise: other potential benefits by X</t>
  </si>
  <si>
    <t>Yes/No: Mask: reduces inhalation of WFS by X</t>
  </si>
  <si>
    <t>Yes/No: Mask: improves lung health outcomes by X</t>
  </si>
  <si>
    <t>Yes/No: Mask: improves other health outcomes by X</t>
  </si>
  <si>
    <t>Yes/No: Mask: other potential benefits X</t>
  </si>
  <si>
    <t>Yes/No: Does the document reference specific scientific publications?</t>
  </si>
  <si>
    <t>STR: Record which publication(s)</t>
  </si>
  <si>
    <t>Yes/No: effect size of HEPA air filter</t>
  </si>
  <si>
    <t>Yes/No: Describes protective actions</t>
  </si>
  <si>
    <t>Yes/No: Check outdoor air quality</t>
  </si>
  <si>
    <t>Yes/No: Stay indoors</t>
  </si>
  <si>
    <t>doc_id</t>
  </si>
  <si>
    <t>source_name</t>
  </si>
  <si>
    <t>include_wfs_health_action</t>
  </si>
  <si>
    <t>use_air_cleaner</t>
  </si>
  <si>
    <t>use_HEPA_filter</t>
  </si>
  <si>
    <t>run_HVAC_continuous</t>
  </si>
  <si>
    <t>run_HVAC_filter_specified</t>
  </si>
  <si>
    <t>run_HVAC_filter_type_txt</t>
  </si>
  <si>
    <t>reduce_outdoor_exercise</t>
  </si>
  <si>
    <t>stay_indoors</t>
  </si>
  <si>
    <t>stay_indoors_doors_windows_closed</t>
  </si>
  <si>
    <t>wear_mask</t>
  </si>
  <si>
    <t>wear_mask_N95</t>
  </si>
  <si>
    <t>wear_mask_KN95</t>
  </si>
  <si>
    <t>wear_mask_respirator</t>
  </si>
  <si>
    <t>wear_mask_surgical</t>
  </si>
  <si>
    <t>wear_mask_against_specified</t>
  </si>
  <si>
    <t>wear_mask_against_txt</t>
  </si>
  <si>
    <t>check_air_quality</t>
  </si>
  <si>
    <t>check_outdoor_AQ</t>
  </si>
  <si>
    <t>check_outdoor_AQ_method</t>
  </si>
  <si>
    <t>check_outdoor_AQ_govt_ECCC</t>
  </si>
  <si>
    <t>check_outdoor_AQ_govt_BC</t>
  </si>
  <si>
    <t>check_outdoor_AQ_govt_FireSmoke</t>
  </si>
  <si>
    <t>check_outdoor_AQ_PurpleAir</t>
  </si>
  <si>
    <t>check_outdoor_AQ_IQair</t>
  </si>
  <si>
    <t>outdoor_AQ_action_specified</t>
  </si>
  <si>
    <t>outdoor_AQ_action_txt</t>
  </si>
  <si>
    <t>monitor_indoor_AQ</t>
  </si>
  <si>
    <t>indoor_monitor_type_specified</t>
  </si>
  <si>
    <t>indoor_monitor_type_txt</t>
  </si>
  <si>
    <t>indoor_monitor_action_specified</t>
  </si>
  <si>
    <t>indoor_monitor_action_txt</t>
  </si>
  <si>
    <t>other_health_action_txt</t>
  </si>
  <si>
    <t>Yes/No: Chinese</t>
  </si>
  <si>
    <t>target_audience_present</t>
  </si>
  <si>
    <t>target_audience_general_pop</t>
  </si>
  <si>
    <t>guidance_goal_present</t>
  </si>
  <si>
    <t>guidance_goal_protect_lung_health</t>
  </si>
  <si>
    <t>guidance_goal_other_txt</t>
  </si>
  <si>
    <t>author_individual_level</t>
  </si>
  <si>
    <t>author_names_present</t>
  </si>
  <si>
    <t>author_accreditation_present</t>
  </si>
  <si>
    <t>author_additional_info_present</t>
  </si>
  <si>
    <t>author_additional_info_txt</t>
  </si>
  <si>
    <t>dev_process_described</t>
  </si>
  <si>
    <t>dev_process_details_txt</t>
  </si>
  <si>
    <t>multi_language_available</t>
  </si>
  <si>
    <t>language_french</t>
  </si>
  <si>
    <t>language_hindi</t>
  </si>
  <si>
    <t>language_spanish</t>
  </si>
  <si>
    <t>language_other_specified</t>
  </si>
  <si>
    <t>language_other_txt</t>
  </si>
  <si>
    <t>benefits_present</t>
  </si>
  <si>
    <t>benefits_HEPA_improves_air_quality</t>
  </si>
  <si>
    <t>benefits_DIY_improves_air_quality</t>
  </si>
  <si>
    <t>effectsize_present</t>
  </si>
  <si>
    <t>evidence_quality_present</t>
  </si>
  <si>
    <t>evidence_quality_mask</t>
  </si>
  <si>
    <t>references_scientific_publications</t>
  </si>
  <si>
    <t>references_scientific_publications_txt</t>
  </si>
  <si>
    <t>check_outdoor_AQ_govt</t>
  </si>
  <si>
    <t>check_outdoor_AQ_crowdsource</t>
  </si>
  <si>
    <t>Yes/No: Other specified</t>
  </si>
  <si>
    <t>STR: Other health protective behaviour specified</t>
  </si>
  <si>
    <t>other_health_action</t>
  </si>
  <si>
    <t>guidance_goal_other</t>
  </si>
  <si>
    <t>3.4.1</t>
  </si>
  <si>
    <t>STR: Other guidance goal (specify)</t>
  </si>
  <si>
    <t>3.X.X</t>
  </si>
  <si>
    <t>Yes/No: individual authors' names</t>
  </si>
  <si>
    <t>Yes/No: individuals authors' accreditation</t>
  </si>
  <si>
    <t>language_chinese</t>
  </si>
  <si>
    <t>Yes/No: Spanish</t>
  </si>
  <si>
    <t>Yes/No: Punjabi</t>
  </si>
  <si>
    <t>language_punjabi</t>
  </si>
  <si>
    <t>benefits_hepa</t>
  </si>
  <si>
    <t>benefits_HEPA_improves_lung_health</t>
  </si>
  <si>
    <t>benefits_HEPA_improves_other_health</t>
  </si>
  <si>
    <t>benefits_HEPA_improves_other_non_health</t>
  </si>
  <si>
    <t>benefits_DIY_improves_lung_health</t>
  </si>
  <si>
    <t>benefits_DIY_improves_other_health</t>
  </si>
  <si>
    <t>benefits_DIY_improves_other_non_health</t>
  </si>
  <si>
    <t>benefits_indoor_improves_air_quality</t>
  </si>
  <si>
    <t>benefits_indoor_improves_lung_health</t>
  </si>
  <si>
    <t>benefits_indoor_improves_other_health</t>
  </si>
  <si>
    <t>benefits_indoor_improves_other_non_health</t>
  </si>
  <si>
    <t>benefits_DIY</t>
  </si>
  <si>
    <t>benefits_indoor</t>
  </si>
  <si>
    <t>benefits_reduce_outdoor</t>
  </si>
  <si>
    <t>effectsize_HEPA_present</t>
  </si>
  <si>
    <t>effectsize_HEPA_air_quality</t>
  </si>
  <si>
    <t>effectsize_HEPA_lung_health</t>
  </si>
  <si>
    <t>effectsize_HEPA_other_health</t>
  </si>
  <si>
    <t>effectsize_DIY_present</t>
  </si>
  <si>
    <t>effectsize_DIY_air_quality</t>
  </si>
  <si>
    <t>effectsize_DIY_lung_health</t>
  </si>
  <si>
    <t>effectsize_DIY_other_health</t>
  </si>
  <si>
    <t>effectsize_stay_indoors_present</t>
  </si>
  <si>
    <t>effectsize_stay_indoors_reduce_exposure</t>
  </si>
  <si>
    <t>effectsize_stay_indoors_lung_health</t>
  </si>
  <si>
    <t>effectsize_stay_indoors_other_health</t>
  </si>
  <si>
    <t>effectsize_reduce_exercise_present</t>
  </si>
  <si>
    <t>effectsize_reduce_exercise_lung_health</t>
  </si>
  <si>
    <t>effectsize_reduce_exercise_other_health</t>
  </si>
  <si>
    <t>effectsize_mask_present</t>
  </si>
  <si>
    <t>effectsize_mask_lung_health</t>
  </si>
  <si>
    <t>effectsize_mask_other_health</t>
  </si>
  <si>
    <t>effectsize_other_action_present</t>
  </si>
  <si>
    <t>effectsize_other_action_txt</t>
  </si>
  <si>
    <t>effectsize_HEPA_other</t>
  </si>
  <si>
    <t>effectsize_DIY_other</t>
  </si>
  <si>
    <t>effectsize_stay_indoors_other</t>
  </si>
  <si>
    <t>effectsize_reduce_exercise_reduce_exposure</t>
  </si>
  <si>
    <t>effectsize_reduce_exercise_other</t>
  </si>
  <si>
    <t>effectsize_mask_reduce_exposure</t>
  </si>
  <si>
    <t>effectsize_mask_other</t>
  </si>
  <si>
    <t>evidence_quality_HEPA</t>
  </si>
  <si>
    <t>evidence_quality_DIY</t>
  </si>
  <si>
    <t>evidence_quality_stay_indoors</t>
  </si>
  <si>
    <t>evidence_quality_reduce_exercise</t>
  </si>
  <si>
    <t>evidence_quality_other_action_txt</t>
  </si>
  <si>
    <t>evidence_quality_other</t>
  </si>
  <si>
    <r>
      <t xml:space="preserve">NOTES:
</t>
    </r>
    <r>
      <rPr>
        <sz val="11"/>
        <color theme="1"/>
        <rFont val="Calibri"/>
        <family val="2"/>
        <scheme val="minor"/>
      </rPr>
      <t>This summary table will be used for data extraction. 
Each public health guidance will have 1 row (filled out). These fields should automatically sync with the worksheet as you extract.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Make sure to copy and paste the row onto the data_extraction_results sheet to ensure your individual extractions are saved.
This page is locked to ensure data structure does not get altered. Password is </t>
    </r>
    <r>
      <rPr>
        <i/>
        <sz val="11"/>
        <color theme="1"/>
        <rFont val="Calibri"/>
        <family val="2"/>
        <scheme val="minor"/>
      </rPr>
      <t>wildfire</t>
    </r>
    <r>
      <rPr>
        <sz val="11"/>
        <color theme="1"/>
        <rFont val="Calibri"/>
        <family val="2"/>
        <scheme val="minor"/>
      </rPr>
      <t xml:space="preserve"> to unlock </t>
    </r>
  </si>
  <si>
    <t>Yes/No: Is/are author(s) described at an individual level? (eg, not at the the organizational level only (e.g., BCCDC) or not at all)</t>
  </si>
  <si>
    <t>9.1.1.1</t>
  </si>
  <si>
    <t>STR: Magnitude of effect</t>
  </si>
  <si>
    <t>9.2.1.1</t>
  </si>
  <si>
    <t>9.3.1.1</t>
  </si>
  <si>
    <t>9.4.1.1</t>
  </si>
  <si>
    <t>9.X.X.X</t>
  </si>
  <si>
    <t>effectsize_HEPA_txt</t>
  </si>
  <si>
    <t>effectsize_DIY_txt</t>
  </si>
  <si>
    <t>effectsize_stay_indoors_txt</t>
  </si>
  <si>
    <t>effectsize_reduce_exercise_txt</t>
  </si>
  <si>
    <t>effectsize_mask_txt</t>
  </si>
  <si>
    <t>1.1.3</t>
  </si>
  <si>
    <t>Yes/No: Filtering air in vehicle (eg, recirculation mode)</t>
  </si>
  <si>
    <t>2.X.X</t>
  </si>
  <si>
    <t>filter_air_vehicle</t>
  </si>
  <si>
    <t>4.X.X</t>
  </si>
  <si>
    <t>6.X.X</t>
  </si>
  <si>
    <t>Guidance Document Number</t>
  </si>
  <si>
    <t>1.4.2</t>
  </si>
  <si>
    <t>1.4.3</t>
  </si>
  <si>
    <t>1.4.4</t>
  </si>
  <si>
    <t>1.4.5</t>
  </si>
  <si>
    <t>1.4.5.1</t>
  </si>
  <si>
    <t>1.5.1</t>
  </si>
  <si>
    <t>1.5.1.1</t>
  </si>
  <si>
    <t>1.5.1.1.1</t>
  </si>
  <si>
    <t>1.5.1.1.2</t>
  </si>
  <si>
    <t>1.5.1.1.1.1</t>
  </si>
  <si>
    <t>1.5.1.1.1.2</t>
  </si>
  <si>
    <t>1.5.1.1.1.3</t>
  </si>
  <si>
    <t>1.5.1.1.2.1</t>
  </si>
  <si>
    <t>1.5.1.1.2.2</t>
  </si>
  <si>
    <t>1.5.1.2</t>
  </si>
  <si>
    <t>1.5.1.2.1</t>
  </si>
  <si>
    <t>1.5.2.1</t>
  </si>
  <si>
    <t>1.5.2.2</t>
  </si>
  <si>
    <t>1.5.2</t>
  </si>
  <si>
    <t>1.6.1</t>
  </si>
  <si>
    <t>1.5.2.1.1</t>
  </si>
  <si>
    <t>1.5.2.2.1</t>
  </si>
  <si>
    <t>Yes/No: Older populations/elderly</t>
  </si>
  <si>
    <t>Yes/No: Pregnant populations</t>
  </si>
  <si>
    <t>Yes/No: Current lung disease</t>
  </si>
  <si>
    <t>Yes/No: Current other health condition (eg, diabetes)</t>
  </si>
  <si>
    <t>STR: Specify other health condition</t>
  </si>
  <si>
    <t>2.6.1</t>
  </si>
  <si>
    <t>Other</t>
  </si>
  <si>
    <t>2.7.1</t>
  </si>
  <si>
    <t>STR: Specify other</t>
  </si>
  <si>
    <t>Yes/No: Children/infants</t>
  </si>
  <si>
    <t>target_group_children_infants</t>
  </si>
  <si>
    <t>Yes/No: Protect lung health</t>
  </si>
  <si>
    <t>Yes/No: Inform decisions</t>
  </si>
  <si>
    <t>Yes/No: Protect health (general)</t>
  </si>
  <si>
    <t>3.3.1</t>
  </si>
  <si>
    <t>Yes/No: Protect health (other specific, not lung)</t>
  </si>
  <si>
    <t>STR: Specify protect health (other specific, not lung)</t>
  </si>
  <si>
    <t>target_group_older</t>
  </si>
  <si>
    <t>target_group_pregnant</t>
  </si>
  <si>
    <t>target_group_current_lung_disease</t>
  </si>
  <si>
    <t>target_group_current_other</t>
  </si>
  <si>
    <t>target_group_current_other_health_txt</t>
  </si>
  <si>
    <t>target_group_current_other_health</t>
  </si>
  <si>
    <t>target_group_current_other_txt</t>
  </si>
  <si>
    <t>guidance_goal_protect_health_general</t>
  </si>
  <si>
    <t>guidance_goal_protect_health_other</t>
  </si>
  <si>
    <t>guidance_goal_informs_decisions</t>
  </si>
  <si>
    <t>guidance_goal_protect_health_other_txt</t>
  </si>
  <si>
    <t>Yes/No: Are potential benefits described?</t>
  </si>
  <si>
    <t>STR: Specific potential benefits of another action</t>
  </si>
  <si>
    <t>https://docs.google.com/spreadsheets/d/1U6FT22zcSiTIgCpsi59hsJdafV3-jaXUUoqXH4dbE2I/edit?usp=sharing</t>
  </si>
  <si>
    <t xml:space="preserve">Link to included public health guidance: </t>
  </si>
  <si>
    <t>Indicates whether the document describes one or more individual-level, self-protective health behaviour in the context of wildfire smoke (WFS)</t>
  </si>
  <si>
    <t>Yes/No: is an explicit statement of target audience present?</t>
  </si>
  <si>
    <t>Effect size(s) of burden of health protective action</t>
  </si>
  <si>
    <t>Indicates whether document includes a quantitative estimate of the burdens(s) of one or more health protective actions in the context of WFS</t>
  </si>
  <si>
    <t>10.X.X.X</t>
  </si>
  <si>
    <t>10.1.1</t>
  </si>
  <si>
    <t>10.1.2</t>
  </si>
  <si>
    <t>10.1.3</t>
  </si>
  <si>
    <t>10.1.4</t>
  </si>
  <si>
    <t>10.2.1</t>
  </si>
  <si>
    <t>10.2.2</t>
  </si>
  <si>
    <t>10.2.3</t>
  </si>
  <si>
    <t>10.2.4</t>
  </si>
  <si>
    <t>10.3.1</t>
  </si>
  <si>
    <t>10.3.2</t>
  </si>
  <si>
    <t>10.3.3</t>
  </si>
  <si>
    <t>10.3.4</t>
  </si>
  <si>
    <t>10.4.1</t>
  </si>
  <si>
    <t>10.4.2</t>
  </si>
  <si>
    <t>10.4.3</t>
  </si>
  <si>
    <t>10.4.4</t>
  </si>
  <si>
    <t>10.5.1</t>
  </si>
  <si>
    <t>10.5.2</t>
  </si>
  <si>
    <t>10.5.3</t>
  </si>
  <si>
    <t>10.5.4</t>
  </si>
  <si>
    <t>10.1.1.1</t>
  </si>
  <si>
    <t>10.2.1.1</t>
  </si>
  <si>
    <t>10.3.1.1</t>
  </si>
  <si>
    <t>10.4.1.1</t>
  </si>
  <si>
    <t>11.X.X</t>
  </si>
  <si>
    <t>11.6.1</t>
  </si>
  <si>
    <t>12.X</t>
  </si>
  <si>
    <t>effectsize_burden_present</t>
  </si>
  <si>
    <t>effectsize_burden_HEPA_present</t>
  </si>
  <si>
    <t>effectsize_burden_HEPA_air_quality</t>
  </si>
  <si>
    <t>effectsize_burden_HEPA_lung_health</t>
  </si>
  <si>
    <t>effectsize_burden_HEPA_other_health</t>
  </si>
  <si>
    <t>effectsize_burden_HEPA_other</t>
  </si>
  <si>
    <t>effectsize_burden_HEPA_txt</t>
  </si>
  <si>
    <t>effectsize_burden_DIY_present</t>
  </si>
  <si>
    <t>effectsize_burden_DIY_air_quality</t>
  </si>
  <si>
    <t>effectsize_burden_DIY_lung_health</t>
  </si>
  <si>
    <t>effectsize_burden_DIY_other_health</t>
  </si>
  <si>
    <t>effectsize_burden_DIY_other</t>
  </si>
  <si>
    <t>effectsize_burden_DIY_txt</t>
  </si>
  <si>
    <t>effectsize_burden_stay_indoors_present</t>
  </si>
  <si>
    <t>effectsize_burden_stay_indoors_reduce_exposure</t>
  </si>
  <si>
    <t>effectsize_burden_stay_indoors_lung_health</t>
  </si>
  <si>
    <t>effectsize_burden_stay_indoors_other_health</t>
  </si>
  <si>
    <t>effectsize_burden_stay_indoors_other</t>
  </si>
  <si>
    <t>effectsize_burden_stay_indoors_txt</t>
  </si>
  <si>
    <t>effectsize_burden_reduce_exercise_present</t>
  </si>
  <si>
    <t>effectsize_burden_reduce_exercise_reduce_exposure</t>
  </si>
  <si>
    <t>effectsize_burden_reduce_exercise_lung_health</t>
  </si>
  <si>
    <t>effectsize_burden_reduce_exercise_other_health</t>
  </si>
  <si>
    <t>effectsize_burden_reduce_exercise_other</t>
  </si>
  <si>
    <t>effectsize_burden_reduce_exercise_txt</t>
  </si>
  <si>
    <t>effectsize_burden_mask_present</t>
  </si>
  <si>
    <t>effectsize_burden_mask_reduce_exposure</t>
  </si>
  <si>
    <t>effectsize_burden_mask_lung_health</t>
  </si>
  <si>
    <t>effectsize_burden_mask_other_health</t>
  </si>
  <si>
    <t>effectsize_burden_mask_other</t>
  </si>
  <si>
    <t>effectsize_burden_mask_txt</t>
  </si>
  <si>
    <t>effectsize_burden_other_action_present</t>
  </si>
  <si>
    <t>effectsize_burden_other_action_txt</t>
  </si>
  <si>
    <t>Indicates whether the document includes an explicit statement of its goal (i.e., goal of recommendation(s) overall)</t>
  </si>
  <si>
    <t>1.4.6</t>
  </si>
  <si>
    <t>Yes/No: Reduce outdoor exercise: other potential burdens</t>
  </si>
  <si>
    <t>Yes/No: Check indoor air quality</t>
  </si>
  <si>
    <t>Yes/No: additional information about authors (i.e., position, conflict of interest)</t>
  </si>
  <si>
    <t>STR: Record what information is provided about development process (i.e., end-user engagement)</t>
  </si>
  <si>
    <t>Yes/No: FOR OTHER certain type of mask</t>
  </si>
  <si>
    <t>1.4.6.1</t>
  </si>
  <si>
    <t>STR: FOR OTHER certain type of mask</t>
  </si>
  <si>
    <t>wear_mask_other</t>
  </si>
  <si>
    <t>wear_mask_other_txt</t>
  </si>
  <si>
    <t>8.5.4</t>
  </si>
  <si>
    <t>Yes/No: Mask: cost of mask</t>
  </si>
  <si>
    <t>bruden_present</t>
  </si>
  <si>
    <t>burden_hepa</t>
  </si>
  <si>
    <t>burden_HEPA_main_cost</t>
  </si>
  <si>
    <t>burden_HEPA_upfront_cost</t>
  </si>
  <si>
    <t>burden_HEPA_noise</t>
  </si>
  <si>
    <t>burden_HEPA_other</t>
  </si>
  <si>
    <t>burden_diy</t>
  </si>
  <si>
    <t>burden_diy_main_cost</t>
  </si>
  <si>
    <t>burden_diy_noise</t>
  </si>
  <si>
    <t>burden_diy_other</t>
  </si>
  <si>
    <t>burden_indoor</t>
  </si>
  <si>
    <t>burden_indoor_work</t>
  </si>
  <si>
    <t>burden_indoor_well_being</t>
  </si>
  <si>
    <t>burden_indoor_other</t>
  </si>
  <si>
    <t>burden_outdoor</t>
  </si>
  <si>
    <t>burden_outdoor_work</t>
  </si>
  <si>
    <t>burden_outdoor_well_being</t>
  </si>
  <si>
    <t>burden_outdoor_other</t>
  </si>
  <si>
    <t>burden_mask</t>
  </si>
  <si>
    <t>burden_mask_work</t>
  </si>
  <si>
    <t>burden_mask_well_being</t>
  </si>
  <si>
    <t>burden_mask_cost</t>
  </si>
  <si>
    <t>burden_mask_other</t>
  </si>
  <si>
    <t>burden_other</t>
  </si>
  <si>
    <t>burden_other_txt</t>
  </si>
  <si>
    <t>vch_001</t>
  </si>
  <si>
    <t>YES</t>
  </si>
  <si>
    <t>NO</t>
  </si>
  <si>
    <t>vch_002</t>
  </si>
  <si>
    <t>vch_003</t>
  </si>
  <si>
    <t>vch_004</t>
  </si>
  <si>
    <t>Wildfire Smoke Readiness Plan</t>
  </si>
  <si>
    <t>vch_005</t>
  </si>
  <si>
    <t>vch_006</t>
  </si>
  <si>
    <t>NA</t>
  </si>
  <si>
    <t>vch_007</t>
  </si>
  <si>
    <t>Follow Asthma Treatment Plans/Use Rescue Medications</t>
  </si>
  <si>
    <t>vch_008</t>
  </si>
  <si>
    <t>vch_009</t>
  </si>
  <si>
    <t>Asthma Treatment Plan &amp; Use of Rescue Medications</t>
  </si>
  <si>
    <t>vch_010</t>
  </si>
  <si>
    <t>vch_011</t>
  </si>
  <si>
    <t>Air Conditioned Spaces (Malls/Library)</t>
  </si>
  <si>
    <t>can_001</t>
  </si>
  <si>
    <t>can_002</t>
  </si>
  <si>
    <t>Mental Health Awareness</t>
  </si>
  <si>
    <t>can_003</t>
  </si>
  <si>
    <t>can_004</t>
  </si>
  <si>
    <t xml:space="preserve">Keep necessary medications at home. Speak to MD about how to protect yourself. Carbon Monoxide alarms in Home. </t>
  </si>
  <si>
    <t>bccdc_001</t>
  </si>
  <si>
    <t xml:space="preserve"> </t>
  </si>
  <si>
    <t>bccdc_002</t>
  </si>
  <si>
    <t xml:space="preserve">Have rescue medications stocked at home. Sign up for Air Quality Subscription Service for alerts. </t>
  </si>
  <si>
    <t>bccdc_003</t>
  </si>
  <si>
    <t>bccdc_004</t>
  </si>
  <si>
    <t>YNO</t>
  </si>
  <si>
    <t>bccdc_005</t>
  </si>
  <si>
    <t>bccdc_006</t>
  </si>
  <si>
    <t>bccdc_007</t>
  </si>
  <si>
    <t>bccdc_008</t>
  </si>
  <si>
    <t>bccdc_009</t>
  </si>
  <si>
    <t>Find cleaner air, wear a respiratory or mask outdoors</t>
  </si>
  <si>
    <t>bccdc_010</t>
  </si>
  <si>
    <t>Go outside when air is less smoky</t>
  </si>
  <si>
    <t>bccdc_011</t>
  </si>
  <si>
    <t>MERV 13</t>
  </si>
  <si>
    <t>bccdc_012</t>
  </si>
  <si>
    <t>Contingency Plan for wild fire smoke during planned outdoor activities</t>
  </si>
  <si>
    <t>Provides table with instructions for outdoor events based on AQHI</t>
  </si>
  <si>
    <t>Develop a wildfire smoke readiness plan for schools, records of students with chronic health conditions</t>
  </si>
  <si>
    <t>bccdc_013</t>
  </si>
  <si>
    <t>MERV13</t>
  </si>
  <si>
    <t>lungns_001</t>
  </si>
  <si>
    <t>N/A</t>
  </si>
  <si>
    <t>hydrate</t>
  </si>
  <si>
    <t>varies</t>
  </si>
  <si>
    <t>MERV13, MERV16+, HEPA</t>
  </si>
  <si>
    <t>hydrate; reduce outdoor excercies</t>
  </si>
  <si>
    <t>asthma treatment plan and rescue medications</t>
  </si>
  <si>
    <t>seek air conditioned spaces (e.g., mall)</t>
  </si>
  <si>
    <t>vch_012</t>
  </si>
  <si>
    <t>vch_013</t>
  </si>
  <si>
    <t>take care of mental health</t>
  </si>
  <si>
    <t>keep medications at home, discuss with physician, carbon monoxide alarms</t>
  </si>
  <si>
    <t xml:space="preserve"> N/A</t>
  </si>
  <si>
    <t>rescue medications at home, air quality alerts subscription</t>
  </si>
  <si>
    <t>40-80% reduction in small/fine particles</t>
  </si>
  <si>
    <t>seek cleaner air, wear a mask or respirator outdoors</t>
  </si>
  <si>
    <t>go outside with lower wildfire smoke</t>
  </si>
  <si>
    <t>varies, depending on aqhi</t>
  </si>
  <si>
    <t>contingency plan for wildfire smoke for planned outdoor activities</t>
  </si>
  <si>
    <t>wildfire smoke readiness plan for schools, records of students with chronic health conditions</t>
  </si>
  <si>
    <t>40-80% reduction in fine particles</t>
  </si>
  <si>
    <t>YES = agreed
No = not agreed</t>
  </si>
  <si>
    <t>merv13</t>
  </si>
  <si>
    <t>merv13, 16+, hepa</t>
  </si>
  <si>
    <t>wildfire smoke readiness plan</t>
  </si>
  <si>
    <t>air conditioned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</si>
</sst>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Aptos Narrow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1" fillId="0" borderId="0" applyNumberFormat="0" applyFill="0" applyBorder="0" applyAlignment="0" applyProtection="0"/>
    <xf numFmtId="0" fontId="32" fillId="0" borderId="0"/>
  </cellStyleXfs>
  <cellXfs count="229">
    <xf numFmtId="0" fontId="0" fillId="0" borderId="0" xfId="0"/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right" vertical="top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5" borderId="0" xfId="0" applyFont="1" applyFill="1" applyAlignment="1">
      <alignment horizontal="right" vertical="center" wrapText="1"/>
    </xf>
    <xf numFmtId="0" fontId="24" fillId="4" borderId="0" xfId="0" applyFont="1" applyFill="1" applyAlignment="1">
      <alignment horizontal="right" vertical="center" wrapText="1"/>
    </xf>
    <xf numFmtId="0" fontId="24" fillId="4" borderId="0" xfId="0" applyFont="1" applyFill="1" applyAlignment="1">
      <alignment vertical="center" wrapText="1"/>
    </xf>
    <xf numFmtId="0" fontId="26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5" fillId="5" borderId="0" xfId="0" applyFont="1" applyFill="1" applyAlignment="1">
      <alignment horizontal="right" vertical="center" wrapText="1"/>
    </xf>
    <xf numFmtId="0" fontId="24" fillId="5" borderId="0" xfId="0" applyFont="1" applyFill="1" applyAlignment="1">
      <alignment vertical="center" wrapText="1"/>
    </xf>
    <xf numFmtId="0" fontId="24" fillId="4" borderId="4" xfId="0" applyFont="1" applyFill="1" applyBorder="1" applyAlignment="1">
      <alignment horizontal="right" vertical="center" wrapText="1"/>
    </xf>
    <xf numFmtId="0" fontId="24" fillId="4" borderId="4" xfId="0" applyFont="1" applyFill="1" applyBorder="1" applyAlignment="1">
      <alignment vertical="center" wrapText="1"/>
    </xf>
    <xf numFmtId="0" fontId="24" fillId="0" borderId="4" xfId="0" applyFont="1" applyBorder="1" applyAlignment="1">
      <alignment horizontal="right" vertical="center" wrapText="1"/>
    </xf>
    <xf numFmtId="0" fontId="24" fillId="5" borderId="4" xfId="0" applyFont="1" applyFill="1" applyBorder="1" applyAlignment="1">
      <alignment horizontal="right" vertical="center" wrapText="1"/>
    </xf>
    <xf numFmtId="0" fontId="24" fillId="5" borderId="4" xfId="0" applyFont="1" applyFill="1" applyBorder="1" applyAlignment="1">
      <alignment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right" vertical="center" wrapText="1"/>
    </xf>
    <xf numFmtId="0" fontId="26" fillId="5" borderId="4" xfId="0" applyFont="1" applyFill="1" applyBorder="1" applyAlignment="1">
      <alignment horizontal="right" vertical="center" wrapText="1"/>
    </xf>
    <xf numFmtId="0" fontId="24" fillId="5" borderId="9" xfId="0" applyFont="1" applyFill="1" applyBorder="1" applyAlignment="1">
      <alignment vertical="center" wrapText="1"/>
    </xf>
    <xf numFmtId="0" fontId="24" fillId="5" borderId="9" xfId="0" applyFont="1" applyFill="1" applyBorder="1" applyAlignment="1">
      <alignment horizontal="right" vertical="center" wrapText="1"/>
    </xf>
    <xf numFmtId="0" fontId="26" fillId="5" borderId="9" xfId="0" applyFont="1" applyFill="1" applyBorder="1" applyAlignment="1">
      <alignment horizontal="right" vertical="center" wrapText="1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 applyAlignment="1">
      <alignment horizontal="right" vertical="center"/>
    </xf>
    <xf numFmtId="0" fontId="26" fillId="5" borderId="0" xfId="0" applyFont="1" applyFill="1" applyAlignment="1">
      <alignment vertical="center" wrapText="1"/>
    </xf>
    <xf numFmtId="0" fontId="26" fillId="5" borderId="4" xfId="0" applyFont="1" applyFill="1" applyBorder="1" applyAlignment="1">
      <alignment vertical="center" wrapText="1"/>
    </xf>
    <xf numFmtId="0" fontId="24" fillId="5" borderId="0" xfId="0" applyFont="1" applyFill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26" fillId="4" borderId="0" xfId="0" applyFont="1" applyFill="1" applyAlignment="1">
      <alignment horizontal="right" vertical="center" wrapText="1"/>
    </xf>
    <xf numFmtId="0" fontId="24" fillId="4" borderId="4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horizontal="right" vertical="center" wrapText="1"/>
    </xf>
    <xf numFmtId="0" fontId="24" fillId="4" borderId="9" xfId="0" applyFont="1" applyFill="1" applyBorder="1" applyAlignment="1">
      <alignment vertical="center" wrapText="1"/>
    </xf>
    <xf numFmtId="0" fontId="24" fillId="4" borderId="9" xfId="0" applyFont="1" applyFill="1" applyBorder="1" applyAlignment="1">
      <alignment horizontal="right" vertical="center" wrapText="1"/>
    </xf>
    <xf numFmtId="0" fontId="26" fillId="4" borderId="9" xfId="0" applyFont="1" applyFill="1" applyBorder="1" applyAlignment="1">
      <alignment horizontal="right" vertical="center" wrapText="1"/>
    </xf>
    <xf numFmtId="0" fontId="27" fillId="4" borderId="4" xfId="0" applyFont="1" applyFill="1" applyBorder="1" applyAlignment="1">
      <alignment vertical="center"/>
    </xf>
    <xf numFmtId="0" fontId="26" fillId="5" borderId="0" xfId="0" applyFont="1" applyFill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5" borderId="4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right" vertical="center" wrapText="1"/>
    </xf>
    <xf numFmtId="0" fontId="24" fillId="4" borderId="0" xfId="0" applyFont="1" applyFill="1" applyAlignment="1">
      <alignment horizontal="left" vertical="center" wrapText="1"/>
    </xf>
    <xf numFmtId="0" fontId="24" fillId="4" borderId="4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4" borderId="7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4" xfId="0" applyFont="1" applyFill="1" applyBorder="1" applyAlignment="1">
      <alignment vertical="center"/>
    </xf>
    <xf numFmtId="0" fontId="24" fillId="5" borderId="9" xfId="0" applyFont="1" applyFill="1" applyBorder="1" applyAlignment="1">
      <alignment vertical="center"/>
    </xf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left" vertical="center"/>
    </xf>
    <xf numFmtId="0" fontId="24" fillId="4" borderId="4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24" fillId="4" borderId="6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 wrapText="1"/>
    </xf>
    <xf numFmtId="0" fontId="24" fillId="5" borderId="5" xfId="0" applyFont="1" applyFill="1" applyBorder="1" applyAlignment="1">
      <alignment vertical="center"/>
    </xf>
    <xf numFmtId="0" fontId="24" fillId="5" borderId="6" xfId="0" applyFont="1" applyFill="1" applyBorder="1" applyAlignment="1">
      <alignment vertical="center"/>
    </xf>
    <xf numFmtId="0" fontId="24" fillId="5" borderId="7" xfId="0" applyFont="1" applyFill="1" applyBorder="1" applyAlignment="1">
      <alignment vertical="center"/>
    </xf>
    <xf numFmtId="0" fontId="24" fillId="5" borderId="5" xfId="0" applyFont="1" applyFill="1" applyBorder="1" applyAlignment="1">
      <alignment vertical="center" wrapText="1"/>
    </xf>
    <xf numFmtId="0" fontId="26" fillId="4" borderId="0" xfId="0" applyFont="1" applyFill="1" applyAlignment="1">
      <alignment vertical="center" wrapText="1"/>
    </xf>
    <xf numFmtId="0" fontId="24" fillId="0" borderId="4" xfId="0" applyFont="1" applyBorder="1" applyAlignment="1">
      <alignment vertical="center"/>
    </xf>
    <xf numFmtId="0" fontId="2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4" fillId="7" borderId="0" xfId="0" applyFont="1" applyFill="1" applyAlignment="1">
      <alignment horizontal="left" vertical="center" wrapText="1"/>
    </xf>
    <xf numFmtId="0" fontId="25" fillId="5" borderId="4" xfId="0" applyFont="1" applyFill="1" applyBorder="1" applyAlignment="1">
      <alignment vertical="center" wrapText="1"/>
    </xf>
    <xf numFmtId="0" fontId="25" fillId="4" borderId="4" xfId="0" applyFont="1" applyFill="1" applyBorder="1" applyAlignment="1">
      <alignment vertical="center" wrapText="1"/>
    </xf>
    <xf numFmtId="0" fontId="26" fillId="5" borderId="9" xfId="0" applyFont="1" applyFill="1" applyBorder="1" applyAlignment="1">
      <alignment vertical="center" wrapText="1"/>
    </xf>
    <xf numFmtId="0" fontId="26" fillId="4" borderId="9" xfId="0" applyFont="1" applyFill="1" applyBorder="1" applyAlignment="1">
      <alignment vertical="center" wrapText="1"/>
    </xf>
    <xf numFmtId="0" fontId="26" fillId="4" borderId="4" xfId="0" applyFont="1" applyFill="1" applyBorder="1" applyAlignment="1">
      <alignment vertical="center" wrapText="1"/>
    </xf>
    <xf numFmtId="0" fontId="25" fillId="5" borderId="4" xfId="0" applyFont="1" applyFill="1" applyBorder="1" applyAlignment="1">
      <alignment vertical="top" wrapText="1"/>
    </xf>
    <xf numFmtId="0" fontId="25" fillId="4" borderId="0" xfId="0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0" fontId="26" fillId="5" borderId="8" xfId="0" applyFont="1" applyFill="1" applyBorder="1" applyAlignment="1">
      <alignment horizontal="right" vertical="center" wrapText="1"/>
    </xf>
    <xf numFmtId="0" fontId="26" fillId="5" borderId="3" xfId="0" applyFont="1" applyFill="1" applyBorder="1" applyAlignment="1">
      <alignment horizontal="left" vertical="center" wrapText="1"/>
    </xf>
    <xf numFmtId="0" fontId="26" fillId="5" borderId="3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5" fillId="5" borderId="4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4" fillId="4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6" fillId="5" borderId="10" xfId="0" applyFont="1" applyFill="1" applyBorder="1" applyAlignment="1">
      <alignment horizontal="right" vertical="center" wrapText="1"/>
    </xf>
    <xf numFmtId="0" fontId="26" fillId="5" borderId="9" xfId="0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1" fillId="4" borderId="4" xfId="0" applyFont="1" applyFill="1" applyBorder="1" applyAlignment="1">
      <alignment horizontal="right" vertical="center" wrapText="1"/>
    </xf>
    <xf numFmtId="0" fontId="21" fillId="4" borderId="0" xfId="0" applyFont="1" applyFill="1" applyAlignment="1">
      <alignment vertical="center" wrapText="1"/>
    </xf>
    <xf numFmtId="0" fontId="21" fillId="4" borderId="4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right" vertical="center" wrapText="1"/>
    </xf>
    <xf numFmtId="0" fontId="25" fillId="5" borderId="4" xfId="0" applyFont="1" applyFill="1" applyBorder="1" applyAlignment="1">
      <alignment horizontal="right" vertical="top" wrapText="1"/>
    </xf>
    <xf numFmtId="0" fontId="25" fillId="5" borderId="4" xfId="0" applyFont="1" applyFill="1" applyBorder="1" applyAlignment="1">
      <alignment horizontal="right" vertical="center" wrapText="1"/>
    </xf>
    <xf numFmtId="0" fontId="25" fillId="4" borderId="4" xfId="0" applyFont="1" applyFill="1" applyBorder="1" applyAlignment="1">
      <alignment horizontal="left" vertical="top" wrapText="1" indent="1"/>
    </xf>
    <xf numFmtId="0" fontId="25" fillId="4" borderId="4" xfId="0" applyFont="1" applyFill="1" applyBorder="1" applyAlignment="1">
      <alignment horizontal="left" vertical="center" wrapText="1" indent="1"/>
    </xf>
    <xf numFmtId="0" fontId="24" fillId="4" borderId="4" xfId="0" applyFont="1" applyFill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4" fillId="0" borderId="0" xfId="0" applyFont="1" applyAlignment="1">
      <alignment horizontal="left" vertical="top" wrapText="1" indent="1"/>
    </xf>
    <xf numFmtId="0" fontId="25" fillId="4" borderId="4" xfId="0" applyFont="1" applyFill="1" applyBorder="1" applyAlignment="1">
      <alignment horizontal="right" vertical="top" wrapText="1" indent="1"/>
    </xf>
    <xf numFmtId="0" fontId="25" fillId="4" borderId="4" xfId="0" applyFont="1" applyFill="1" applyBorder="1" applyAlignment="1">
      <alignment horizontal="right" vertical="center" wrapText="1" indent="1"/>
    </xf>
    <xf numFmtId="0" fontId="24" fillId="4" borderId="4" xfId="0" applyFont="1" applyFill="1" applyBorder="1" applyAlignment="1">
      <alignment horizontal="right" vertical="center" wrapText="1" indent="1"/>
    </xf>
    <xf numFmtId="0" fontId="24" fillId="0" borderId="0" xfId="0" applyFont="1" applyAlignment="1">
      <alignment horizontal="right" vertical="center" wrapText="1" indent="1"/>
    </xf>
    <xf numFmtId="0" fontId="24" fillId="0" borderId="0" xfId="0" applyFont="1" applyAlignment="1">
      <alignment horizontal="right" vertical="top" wrapText="1" indent="1"/>
    </xf>
    <xf numFmtId="0" fontId="25" fillId="4" borderId="4" xfId="0" applyFont="1" applyFill="1" applyBorder="1" applyAlignment="1">
      <alignment horizontal="right" vertical="top" wrapText="1"/>
    </xf>
    <xf numFmtId="0" fontId="25" fillId="4" borderId="4" xfId="0" applyFont="1" applyFill="1" applyBorder="1" applyAlignment="1">
      <alignment horizontal="right" vertical="center"/>
    </xf>
    <xf numFmtId="0" fontId="25" fillId="5" borderId="4" xfId="0" applyFont="1" applyFill="1" applyBorder="1" applyAlignment="1">
      <alignment horizontal="left" vertical="top" wrapText="1" indent="1"/>
    </xf>
    <xf numFmtId="0" fontId="25" fillId="5" borderId="4" xfId="0" applyFont="1" applyFill="1" applyBorder="1" applyAlignment="1">
      <alignment horizontal="left" vertical="center" wrapText="1" indent="1"/>
    </xf>
    <xf numFmtId="0" fontId="25" fillId="5" borderId="4" xfId="0" applyFont="1" applyFill="1" applyBorder="1" applyAlignment="1">
      <alignment horizontal="right" vertical="center"/>
    </xf>
    <xf numFmtId="0" fontId="22" fillId="5" borderId="10" xfId="0" applyFont="1" applyFill="1" applyBorder="1" applyAlignment="1">
      <alignment horizontal="right" vertical="center" wrapText="1"/>
    </xf>
    <xf numFmtId="0" fontId="27" fillId="0" borderId="0" xfId="0" applyFont="1" applyAlignment="1">
      <alignment horizontal="left" vertical="center" indent="1"/>
    </xf>
    <xf numFmtId="0" fontId="21" fillId="4" borderId="0" xfId="0" applyFont="1" applyFill="1" applyAlignment="1">
      <alignment horizontal="right" vertical="center" wrapText="1"/>
    </xf>
    <xf numFmtId="0" fontId="21" fillId="4" borderId="0" xfId="0" applyFont="1" applyFill="1" applyAlignment="1">
      <alignment horizontal="left" vertical="center" wrapText="1"/>
    </xf>
    <xf numFmtId="0" fontId="21" fillId="5" borderId="0" xfId="0" applyFont="1" applyFill="1" applyAlignment="1">
      <alignment horizontal="right" vertical="center" wrapText="1"/>
    </xf>
    <xf numFmtId="0" fontId="21" fillId="4" borderId="4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 wrapText="1"/>
    </xf>
    <xf numFmtId="0" fontId="21" fillId="5" borderId="4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center" wrapText="1"/>
    </xf>
    <xf numFmtId="0" fontId="21" fillId="5" borderId="4" xfId="0" applyFont="1" applyFill="1" applyBorder="1" applyAlignment="1">
      <alignment vertical="center" wrapText="1"/>
    </xf>
    <xf numFmtId="0" fontId="21" fillId="5" borderId="4" xfId="0" applyFont="1" applyFill="1" applyBorder="1" applyAlignment="1">
      <alignment vertical="center"/>
    </xf>
    <xf numFmtId="0" fontId="25" fillId="4" borderId="0" xfId="0" applyFont="1" applyFill="1" applyAlignment="1">
      <alignment horizontal="right" vertical="center" wrapText="1"/>
    </xf>
    <xf numFmtId="0" fontId="20" fillId="5" borderId="9" xfId="0" applyFont="1" applyFill="1" applyBorder="1" applyAlignment="1">
      <alignment horizontal="right" vertical="center" wrapText="1"/>
    </xf>
    <xf numFmtId="0" fontId="20" fillId="5" borderId="0" xfId="0" applyFont="1" applyFill="1" applyAlignment="1">
      <alignment horizontal="right" vertical="center" wrapText="1"/>
    </xf>
    <xf numFmtId="0" fontId="20" fillId="5" borderId="4" xfId="0" applyFont="1" applyFill="1" applyBorder="1" applyAlignment="1">
      <alignment horizontal="right" vertical="center" wrapText="1"/>
    </xf>
    <xf numFmtId="0" fontId="20" fillId="5" borderId="10" xfId="0" applyFont="1" applyFill="1" applyBorder="1" applyAlignment="1">
      <alignment horizontal="right" vertical="center" wrapText="1"/>
    </xf>
    <xf numFmtId="0" fontId="25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/>
    </xf>
    <xf numFmtId="0" fontId="25" fillId="4" borderId="9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vertical="center"/>
    </xf>
    <xf numFmtId="0" fontId="20" fillId="4" borderId="0" xfId="0" applyFont="1" applyFill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right" vertical="center" wrapText="1"/>
    </xf>
    <xf numFmtId="0" fontId="26" fillId="3" borderId="11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vertical="center" wrapText="1"/>
    </xf>
    <xf numFmtId="0" fontId="19" fillId="5" borderId="4" xfId="0" applyFont="1" applyFill="1" applyBorder="1" applyAlignment="1">
      <alignment horizontal="righ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right" vertical="top" wrapText="1"/>
    </xf>
    <xf numFmtId="0" fontId="31" fillId="0" borderId="0" xfId="1" applyAlignment="1">
      <alignment vertical="center" wrapText="1"/>
    </xf>
    <xf numFmtId="0" fontId="16" fillId="5" borderId="4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/>
    </xf>
    <xf numFmtId="0" fontId="25" fillId="0" borderId="0" xfId="0" applyFont="1" applyAlignment="1">
      <alignment horizontal="left" vertical="top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9" fontId="22" fillId="2" borderId="1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2" fillId="0" borderId="0" xfId="2" applyAlignment="1">
      <alignment wrapText="1"/>
    </xf>
    <xf numFmtId="0" fontId="32" fillId="0" borderId="0" xfId="2"/>
    <xf numFmtId="0" fontId="33" fillId="0" borderId="0" xfId="2" applyFont="1"/>
    <xf numFmtId="0" fontId="32" fillId="3" borderId="6" xfId="2" applyFill="1" applyBorder="1"/>
    <xf numFmtId="0" fontId="32" fillId="0" borderId="12" xfId="2" applyBorder="1"/>
    <xf numFmtId="0" fontId="32" fillId="0" borderId="12" xfId="2" applyBorder="1" applyAlignment="1">
      <alignment wrapText="1"/>
    </xf>
    <xf numFmtId="0" fontId="32" fillId="3" borderId="0" xfId="2" applyFill="1"/>
    <xf numFmtId="0" fontId="32" fillId="3" borderId="0" xfId="2" applyFill="1" applyAlignment="1">
      <alignment wrapText="1"/>
    </xf>
    <xf numFmtId="0" fontId="32" fillId="3" borderId="6" xfId="2" applyFill="1" applyBorder="1" applyAlignment="1">
      <alignment wrapText="1"/>
    </xf>
    <xf numFmtId="0" fontId="32" fillId="0" borderId="4" xfId="2" applyBorder="1" applyAlignment="1">
      <alignment wrapText="1"/>
    </xf>
    <xf numFmtId="0" fontId="33" fillId="3" borderId="7" xfId="2" applyFont="1" applyFill="1" applyBorder="1" applyAlignment="1">
      <alignment wrapText="1"/>
    </xf>
    <xf numFmtId="0" fontId="32" fillId="0" borderId="13" xfId="2" applyBorder="1" applyAlignment="1">
      <alignment wrapText="1"/>
    </xf>
    <xf numFmtId="0" fontId="33" fillId="0" borderId="4" xfId="2" applyFont="1" applyBorder="1" applyAlignment="1">
      <alignment wrapText="1"/>
    </xf>
    <xf numFmtId="0" fontId="33" fillId="3" borderId="4" xfId="2" applyFont="1" applyFill="1" applyBorder="1" applyAlignment="1">
      <alignment wrapText="1"/>
    </xf>
    <xf numFmtId="0" fontId="32" fillId="0" borderId="4" xfId="2" applyBorder="1"/>
  </cellXfs>
  <cellStyles count="3">
    <cellStyle name="Hyperlink" xfId="1" builtinId="8"/>
    <cellStyle name="Normal" xfId="0" builtinId="0"/>
    <cellStyle name="Normal 2" xfId="2" xr:uid="{B8FB07A9-5C0F-D64A-A601-F9528B7F88D4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50800</xdr:colOff>
          <xdr:row>0</xdr:row>
          <xdr:rowOff>50800</xdr:rowOff>
        </xdr:from>
        <xdr:to>
          <xdr:col>8</xdr:col>
          <xdr:colOff>495300</xdr:colOff>
          <xdr:row>1</xdr:row>
          <xdr:rowOff>114300</xdr:rowOff>
        </xdr:to>
        <xdr:sp macro="" textlink="">
          <xdr:nvSpPr>
            <xdr:cNvPr id="3089" name="Butto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RESET FORM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U6FT22zcSiTIgCpsi59hsJdafV3-jaXUUoqXH4dbE2I/edit?usp=sharing" TargetMode="Externa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731E-46F8-E141-A20C-6DACA6DCABA9}">
  <sheetPr codeName="Sheet1"/>
  <dimension ref="A1:U158"/>
  <sheetViews>
    <sheetView topLeftCell="G1" zoomScale="75" workbookViewId="0">
      <selection activeCell="H9" sqref="H9"/>
    </sheetView>
  </sheetViews>
  <sheetFormatPr baseColWidth="10" defaultRowHeight="16" x14ac:dyDescent="0.2"/>
  <cols>
    <col min="1" max="1" width="16.6640625" style="9" customWidth="1"/>
    <col min="2" max="2" width="36.83203125" style="6" customWidth="1"/>
    <col min="3" max="3" width="6.6640625" style="4" customWidth="1"/>
    <col min="4" max="4" width="39.83203125" style="6" customWidth="1"/>
    <col min="5" max="5" width="10.83203125" style="3" customWidth="1"/>
    <col min="6" max="6" width="10.83203125" style="6" customWidth="1"/>
    <col min="7" max="7" width="28" style="6" customWidth="1"/>
    <col min="8" max="8" width="10.83203125" style="3" customWidth="1"/>
    <col min="9" max="9" width="10.83203125" style="4" customWidth="1"/>
    <col min="10" max="10" width="77.1640625" style="6" customWidth="1"/>
    <col min="11" max="11" width="10.83203125" style="3" customWidth="1"/>
    <col min="12" max="12" width="9.6640625" style="4" customWidth="1"/>
    <col min="13" max="13" width="27.83203125" style="6" customWidth="1"/>
    <col min="14" max="14" width="10.83203125" style="3" customWidth="1"/>
    <col min="15" max="15" width="10.83203125" style="4" customWidth="1"/>
    <col min="16" max="16" width="39.83203125" style="6" customWidth="1"/>
    <col min="17" max="17" width="10.83203125" style="3" customWidth="1"/>
    <col min="18" max="18" width="10.83203125" style="4" customWidth="1"/>
    <col min="19" max="19" width="36" style="6" customWidth="1"/>
    <col min="20" max="20" width="10.83203125" style="3" customWidth="1"/>
    <col min="21" max="21" width="116.1640625" style="1" customWidth="1"/>
    <col min="22" max="22" width="61.6640625" style="1" bestFit="1" customWidth="1"/>
    <col min="23" max="16384" width="10.83203125" style="1"/>
  </cols>
  <sheetData>
    <row r="1" spans="1:20" ht="35" customHeight="1" x14ac:dyDescent="0.2">
      <c r="A1" s="5" t="s">
        <v>382</v>
      </c>
      <c r="B1" s="188" t="s">
        <v>587</v>
      </c>
      <c r="D1" s="5" t="s">
        <v>66</v>
      </c>
      <c r="E1" s="193" t="s">
        <v>549</v>
      </c>
      <c r="G1" s="79"/>
      <c r="J1" s="162" t="s">
        <v>436</v>
      </c>
      <c r="L1" s="159"/>
    </row>
    <row r="2" spans="1:20" ht="32" x14ac:dyDescent="0.2">
      <c r="A2" s="5"/>
      <c r="D2" s="5"/>
      <c r="G2" s="79"/>
      <c r="J2" s="159" t="s">
        <v>435</v>
      </c>
    </row>
    <row r="3" spans="1:20" s="2" customFormat="1" ht="17" customHeight="1" x14ac:dyDescent="0.2">
      <c r="A3" s="111"/>
      <c r="B3" s="111"/>
      <c r="C3" s="111">
        <v>1</v>
      </c>
      <c r="D3" s="111"/>
      <c r="E3" s="112"/>
      <c r="F3" s="112" t="s">
        <v>29</v>
      </c>
      <c r="G3" s="112"/>
      <c r="H3" s="112"/>
      <c r="I3" s="112" t="s">
        <v>30</v>
      </c>
      <c r="J3" s="112"/>
      <c r="K3" s="112"/>
      <c r="L3" s="112" t="s">
        <v>31</v>
      </c>
      <c r="M3" s="112"/>
      <c r="N3" s="112"/>
      <c r="O3" s="112" t="s">
        <v>54</v>
      </c>
      <c r="P3" s="112"/>
      <c r="Q3" s="112"/>
      <c r="R3" s="111" t="s">
        <v>57</v>
      </c>
      <c r="S3" s="111"/>
      <c r="T3" s="112"/>
    </row>
    <row r="4" spans="1:20" ht="19" customHeight="1" x14ac:dyDescent="0.2">
      <c r="A4" s="197" t="s">
        <v>2</v>
      </c>
      <c r="B4" s="194" t="s">
        <v>437</v>
      </c>
      <c r="C4" s="24">
        <v>1</v>
      </c>
      <c r="D4" s="42" t="s">
        <v>237</v>
      </c>
      <c r="E4" s="43" t="s">
        <v>541</v>
      </c>
      <c r="F4" s="31">
        <v>1.1000000000000001</v>
      </c>
      <c r="G4" s="42" t="s">
        <v>59</v>
      </c>
      <c r="H4" s="43" t="s">
        <v>541</v>
      </c>
      <c r="I4" s="101" t="s">
        <v>37</v>
      </c>
      <c r="J4" s="102" t="s">
        <v>21</v>
      </c>
      <c r="K4" s="43" t="s">
        <v>541</v>
      </c>
      <c r="L4" s="28" t="s">
        <v>55</v>
      </c>
      <c r="M4" s="102" t="s">
        <v>22</v>
      </c>
      <c r="N4" s="43" t="s">
        <v>541</v>
      </c>
      <c r="O4" s="13"/>
      <c r="P4" s="44"/>
      <c r="Q4" s="44"/>
      <c r="R4" s="13"/>
      <c r="S4" s="44"/>
    </row>
    <row r="5" spans="1:20" ht="17" x14ac:dyDescent="0.2">
      <c r="A5" s="198"/>
      <c r="B5" s="195"/>
      <c r="C5" s="24"/>
      <c r="D5" s="42"/>
      <c r="E5" s="44"/>
      <c r="F5" s="31"/>
      <c r="G5" s="17"/>
      <c r="I5" s="10" t="s">
        <v>43</v>
      </c>
      <c r="J5" s="42" t="s">
        <v>23</v>
      </c>
      <c r="K5" s="43" t="s">
        <v>541</v>
      </c>
      <c r="L5" s="24" t="s">
        <v>56</v>
      </c>
      <c r="M5" s="42" t="s">
        <v>39</v>
      </c>
      <c r="N5" s="43" t="s">
        <v>542</v>
      </c>
      <c r="O5" s="24" t="s">
        <v>58</v>
      </c>
      <c r="P5" s="42" t="s">
        <v>38</v>
      </c>
      <c r="Q5" s="46"/>
      <c r="R5" s="13"/>
      <c r="S5" s="44"/>
    </row>
    <row r="6" spans="1:20" ht="17" x14ac:dyDescent="0.2">
      <c r="A6" s="198"/>
      <c r="B6" s="195"/>
      <c r="C6" s="24"/>
      <c r="D6" s="42"/>
      <c r="E6" s="44"/>
      <c r="F6" s="32"/>
      <c r="G6" s="22"/>
      <c r="H6" s="52"/>
      <c r="I6" s="103" t="s">
        <v>376</v>
      </c>
      <c r="J6" s="45" t="s">
        <v>377</v>
      </c>
      <c r="K6" s="43" t="s">
        <v>541</v>
      </c>
      <c r="L6" s="49"/>
      <c r="M6" s="47"/>
      <c r="N6" s="47"/>
      <c r="O6" s="49"/>
      <c r="P6" s="47"/>
      <c r="Q6" s="47"/>
      <c r="R6" s="13"/>
      <c r="S6" s="44"/>
    </row>
    <row r="7" spans="1:20" ht="34" x14ac:dyDescent="0.2">
      <c r="A7" s="198"/>
      <c r="B7" s="195"/>
      <c r="C7" s="24"/>
      <c r="D7" s="42"/>
      <c r="E7" s="44"/>
      <c r="F7" s="82">
        <v>1.2</v>
      </c>
      <c r="G7" s="81" t="s">
        <v>19</v>
      </c>
      <c r="H7" s="43" t="s">
        <v>541</v>
      </c>
      <c r="I7" s="13"/>
      <c r="J7" s="44"/>
      <c r="K7" s="44"/>
      <c r="L7" s="13"/>
      <c r="M7" s="44"/>
      <c r="N7" s="44"/>
      <c r="O7" s="13"/>
      <c r="P7" s="44"/>
      <c r="R7" s="1"/>
      <c r="S7" s="1"/>
      <c r="T7" s="1"/>
    </row>
    <row r="8" spans="1:20" ht="17" x14ac:dyDescent="0.2">
      <c r="A8" s="198"/>
      <c r="B8" s="195"/>
      <c r="C8" s="24"/>
      <c r="D8" s="42"/>
      <c r="E8" s="44"/>
      <c r="F8" s="21">
        <v>1.3</v>
      </c>
      <c r="G8" s="45" t="s">
        <v>239</v>
      </c>
      <c r="H8" s="48" t="s">
        <v>541</v>
      </c>
      <c r="I8" s="25" t="s">
        <v>44</v>
      </c>
      <c r="J8" s="45" t="s">
        <v>24</v>
      </c>
      <c r="K8" s="43" t="s">
        <v>541</v>
      </c>
      <c r="L8" s="13"/>
      <c r="M8" s="44"/>
      <c r="N8" s="44"/>
      <c r="O8" s="13"/>
      <c r="P8" s="44"/>
      <c r="R8" s="1"/>
      <c r="S8" s="1"/>
      <c r="T8" s="1"/>
    </row>
    <row r="9" spans="1:20" ht="17" x14ac:dyDescent="0.2">
      <c r="A9" s="198"/>
      <c r="B9" s="195"/>
      <c r="C9" s="24"/>
      <c r="D9" s="42"/>
      <c r="E9" s="44"/>
      <c r="F9" s="24">
        <v>1.4</v>
      </c>
      <c r="G9" s="42" t="s">
        <v>20</v>
      </c>
      <c r="H9" s="48" t="s">
        <v>541</v>
      </c>
      <c r="I9" s="24" t="s">
        <v>45</v>
      </c>
      <c r="J9" s="42" t="s">
        <v>26</v>
      </c>
      <c r="K9" s="48" t="s">
        <v>541</v>
      </c>
      <c r="L9" s="13"/>
      <c r="M9" s="44"/>
      <c r="N9" s="44"/>
      <c r="O9" s="13"/>
      <c r="P9" s="44"/>
      <c r="R9" s="1"/>
      <c r="S9" s="1"/>
      <c r="T9" s="1"/>
    </row>
    <row r="10" spans="1:20" ht="17" x14ac:dyDescent="0.2">
      <c r="A10" s="198"/>
      <c r="B10" s="195"/>
      <c r="C10" s="24"/>
      <c r="D10" s="42"/>
      <c r="E10" s="44"/>
      <c r="F10" s="24"/>
      <c r="G10" s="42"/>
      <c r="H10" s="44"/>
      <c r="I10" s="24" t="s">
        <v>383</v>
      </c>
      <c r="J10" s="42" t="s">
        <v>25</v>
      </c>
      <c r="K10" s="48" t="s">
        <v>542</v>
      </c>
      <c r="L10" s="13"/>
      <c r="M10" s="44"/>
      <c r="N10" s="44"/>
      <c r="O10" s="13"/>
      <c r="P10" s="44"/>
      <c r="R10" s="1"/>
      <c r="S10" s="1"/>
      <c r="T10" s="1"/>
    </row>
    <row r="11" spans="1:20" ht="17" x14ac:dyDescent="0.2">
      <c r="A11" s="198"/>
      <c r="B11" s="195"/>
      <c r="C11" s="24"/>
      <c r="D11" s="42"/>
      <c r="E11" s="44"/>
      <c r="F11" s="24"/>
      <c r="G11" s="42"/>
      <c r="H11" s="44"/>
      <c r="I11" s="24" t="s">
        <v>384</v>
      </c>
      <c r="J11" s="42" t="s">
        <v>27</v>
      </c>
      <c r="K11" s="48" t="s">
        <v>542</v>
      </c>
      <c r="L11" s="13"/>
      <c r="M11" s="44"/>
      <c r="N11" s="44"/>
      <c r="O11" s="13"/>
      <c r="P11" s="44"/>
      <c r="R11" s="1"/>
      <c r="S11" s="1"/>
      <c r="T11" s="1"/>
    </row>
    <row r="12" spans="1:20" ht="17" x14ac:dyDescent="0.2">
      <c r="A12" s="198"/>
      <c r="B12" s="195"/>
      <c r="C12" s="24"/>
      <c r="D12" s="42"/>
      <c r="E12" s="44"/>
      <c r="F12" s="24"/>
      <c r="G12" s="42"/>
      <c r="H12" s="44"/>
      <c r="I12" s="24" t="s">
        <v>385</v>
      </c>
      <c r="J12" s="42" t="s">
        <v>28</v>
      </c>
      <c r="K12" s="154" t="s">
        <v>542</v>
      </c>
      <c r="L12" s="13"/>
      <c r="M12" s="44"/>
      <c r="N12" s="44"/>
      <c r="O12" s="13"/>
      <c r="P12" s="3"/>
      <c r="R12" s="1"/>
      <c r="S12" s="1"/>
      <c r="T12" s="1"/>
    </row>
    <row r="13" spans="1:20" ht="34" x14ac:dyDescent="0.2">
      <c r="A13" s="198"/>
      <c r="B13" s="195"/>
      <c r="C13" s="24"/>
      <c r="D13" s="42"/>
      <c r="E13" s="44"/>
      <c r="F13" s="24"/>
      <c r="G13" s="42"/>
      <c r="H13" s="44"/>
      <c r="I13" s="24" t="s">
        <v>386</v>
      </c>
      <c r="J13" s="42" t="s">
        <v>32</v>
      </c>
      <c r="K13" s="43" t="s">
        <v>542</v>
      </c>
      <c r="L13" s="24" t="s">
        <v>387</v>
      </c>
      <c r="M13" s="42" t="s">
        <v>40</v>
      </c>
      <c r="N13" s="46"/>
      <c r="O13" s="13"/>
      <c r="P13" s="3"/>
      <c r="R13" s="1"/>
      <c r="S13" s="1"/>
      <c r="T13" s="1"/>
    </row>
    <row r="14" spans="1:20" ht="34" x14ac:dyDescent="0.2">
      <c r="A14" s="198"/>
      <c r="B14" s="195"/>
      <c r="C14" s="24"/>
      <c r="D14" s="42"/>
      <c r="E14" s="44"/>
      <c r="F14" s="25"/>
      <c r="G14" s="45"/>
      <c r="H14" s="47"/>
      <c r="I14" s="156" t="s">
        <v>503</v>
      </c>
      <c r="J14" s="157" t="s">
        <v>508</v>
      </c>
      <c r="K14" s="182" t="s">
        <v>542</v>
      </c>
      <c r="L14" s="158" t="s">
        <v>509</v>
      </c>
      <c r="M14" s="157" t="s">
        <v>510</v>
      </c>
      <c r="N14" s="181"/>
      <c r="O14" s="13"/>
      <c r="P14" s="44"/>
      <c r="R14" s="1"/>
      <c r="S14" s="1"/>
      <c r="T14" s="1"/>
    </row>
    <row r="15" spans="1:20" ht="34" x14ac:dyDescent="0.2">
      <c r="A15" s="198"/>
      <c r="B15" s="195"/>
      <c r="C15" s="24"/>
      <c r="D15" s="42"/>
      <c r="E15" s="44"/>
      <c r="F15" s="31">
        <v>1.5</v>
      </c>
      <c r="G15" s="42" t="s">
        <v>60</v>
      </c>
      <c r="H15" s="43" t="s">
        <v>541</v>
      </c>
      <c r="I15" s="24" t="s">
        <v>388</v>
      </c>
      <c r="J15" s="42" t="s">
        <v>238</v>
      </c>
      <c r="K15" s="48" t="s">
        <v>541</v>
      </c>
      <c r="L15" s="24" t="s">
        <v>389</v>
      </c>
      <c r="M15" s="42" t="s">
        <v>35</v>
      </c>
      <c r="N15" s="155" t="s">
        <v>541</v>
      </c>
      <c r="O15" s="24" t="s">
        <v>390</v>
      </c>
      <c r="P15" s="17" t="s">
        <v>46</v>
      </c>
      <c r="Q15" s="189" t="s">
        <v>541</v>
      </c>
      <c r="R15" s="132" t="s">
        <v>392</v>
      </c>
      <c r="S15" s="42" t="s">
        <v>49</v>
      </c>
      <c r="T15" s="189" t="s">
        <v>541</v>
      </c>
    </row>
    <row r="16" spans="1:20" ht="17" x14ac:dyDescent="0.2">
      <c r="A16" s="198"/>
      <c r="B16" s="195"/>
      <c r="C16" s="24"/>
      <c r="D16" s="42"/>
      <c r="E16" s="44"/>
      <c r="F16" s="31"/>
      <c r="G16" s="42"/>
      <c r="H16" s="44"/>
      <c r="I16" s="24"/>
      <c r="J16" s="42"/>
      <c r="K16" s="44"/>
      <c r="L16" s="24"/>
      <c r="M16" s="42"/>
      <c r="N16" s="44"/>
      <c r="O16" s="24"/>
      <c r="P16" s="17"/>
      <c r="R16" s="132" t="s">
        <v>393</v>
      </c>
      <c r="S16" s="42" t="s">
        <v>51</v>
      </c>
      <c r="T16" s="185" t="s">
        <v>542</v>
      </c>
    </row>
    <row r="17" spans="1:20" ht="17" x14ac:dyDescent="0.2">
      <c r="A17" s="198"/>
      <c r="B17" s="195"/>
      <c r="C17" s="24"/>
      <c r="D17" s="42"/>
      <c r="E17" s="44"/>
      <c r="F17" s="31"/>
      <c r="G17" s="42"/>
      <c r="H17" s="44"/>
      <c r="I17" s="24"/>
      <c r="J17" s="42"/>
      <c r="K17" s="44"/>
      <c r="L17" s="24"/>
      <c r="M17" s="42"/>
      <c r="N17" s="44"/>
      <c r="O17" s="25"/>
      <c r="P17" s="22"/>
      <c r="Q17" s="52"/>
      <c r="R17" s="103" t="s">
        <v>394</v>
      </c>
      <c r="S17" s="45" t="s">
        <v>48</v>
      </c>
      <c r="T17" s="170" t="s">
        <v>542</v>
      </c>
    </row>
    <row r="18" spans="1:20" ht="34" x14ac:dyDescent="0.2">
      <c r="A18" s="198"/>
      <c r="B18" s="195"/>
      <c r="C18" s="24"/>
      <c r="D18" s="42"/>
      <c r="E18" s="44"/>
      <c r="F18" s="31"/>
      <c r="G18" s="42"/>
      <c r="H18" s="44"/>
      <c r="I18" s="24"/>
      <c r="J18" s="42"/>
      <c r="K18" s="44"/>
      <c r="L18" s="24"/>
      <c r="M18" s="42"/>
      <c r="N18" s="44"/>
      <c r="O18" s="24" t="s">
        <v>391</v>
      </c>
      <c r="P18" s="17" t="s">
        <v>53</v>
      </c>
      <c r="Q18" s="190" t="s">
        <v>542</v>
      </c>
      <c r="R18" s="132" t="s">
        <v>395</v>
      </c>
      <c r="S18" s="42" t="s">
        <v>50</v>
      </c>
      <c r="T18" s="190" t="s">
        <v>542</v>
      </c>
    </row>
    <row r="19" spans="1:20" ht="17" x14ac:dyDescent="0.2">
      <c r="A19" s="198"/>
      <c r="B19" s="195"/>
      <c r="C19" s="24"/>
      <c r="D19" s="42"/>
      <c r="E19" s="44"/>
      <c r="F19" s="31"/>
      <c r="G19" s="42"/>
      <c r="H19" s="44"/>
      <c r="I19" s="24"/>
      <c r="J19" s="42"/>
      <c r="K19" s="44"/>
      <c r="L19" s="25"/>
      <c r="M19" s="45"/>
      <c r="N19" s="47"/>
      <c r="O19" s="25"/>
      <c r="P19" s="22"/>
      <c r="Q19" s="52"/>
      <c r="R19" s="103" t="s">
        <v>396</v>
      </c>
      <c r="S19" s="45" t="s">
        <v>52</v>
      </c>
      <c r="T19" s="170" t="s">
        <v>542</v>
      </c>
    </row>
    <row r="20" spans="1:20" ht="51" x14ac:dyDescent="0.2">
      <c r="A20" s="198"/>
      <c r="B20" s="195"/>
      <c r="C20" s="24"/>
      <c r="D20" s="42"/>
      <c r="E20" s="44"/>
      <c r="F20" s="31"/>
      <c r="G20" s="42"/>
      <c r="H20" s="44"/>
      <c r="I20" s="25"/>
      <c r="J20" s="22"/>
      <c r="K20" s="52"/>
      <c r="L20" s="103" t="s">
        <v>397</v>
      </c>
      <c r="M20" s="45" t="s">
        <v>36</v>
      </c>
      <c r="N20" s="48"/>
      <c r="O20" s="25" t="s">
        <v>398</v>
      </c>
      <c r="P20" s="22" t="s">
        <v>47</v>
      </c>
      <c r="Q20" s="187"/>
    </row>
    <row r="21" spans="1:20" ht="17" x14ac:dyDescent="0.2">
      <c r="A21" s="198"/>
      <c r="B21" s="195"/>
      <c r="C21" s="24"/>
      <c r="D21" s="42"/>
      <c r="E21" s="44"/>
      <c r="F21" s="31"/>
      <c r="G21" s="42"/>
      <c r="H21" s="44"/>
      <c r="I21" s="24" t="s">
        <v>401</v>
      </c>
      <c r="J21" s="42" t="s">
        <v>505</v>
      </c>
      <c r="K21" s="48" t="s">
        <v>542</v>
      </c>
      <c r="L21" s="80" t="s">
        <v>399</v>
      </c>
      <c r="M21" s="81" t="s">
        <v>33</v>
      </c>
      <c r="N21" s="43" t="s">
        <v>542</v>
      </c>
      <c r="O21" s="82" t="s">
        <v>403</v>
      </c>
      <c r="P21" s="81" t="s">
        <v>41</v>
      </c>
      <c r="Q21" s="46"/>
      <c r="R21" s="13"/>
      <c r="S21" s="44"/>
    </row>
    <row r="22" spans="1:20" ht="51" x14ac:dyDescent="0.2">
      <c r="A22" s="198"/>
      <c r="B22" s="195"/>
      <c r="C22" s="24"/>
      <c r="D22" s="42"/>
      <c r="E22" s="44"/>
      <c r="F22" s="32"/>
      <c r="G22" s="45"/>
      <c r="H22" s="47"/>
      <c r="I22" s="25"/>
      <c r="J22" s="45"/>
      <c r="K22" s="47"/>
      <c r="L22" s="25" t="s">
        <v>400</v>
      </c>
      <c r="M22" s="45" t="s">
        <v>34</v>
      </c>
      <c r="N22" s="48" t="s">
        <v>542</v>
      </c>
      <c r="O22" s="25" t="s">
        <v>404</v>
      </c>
      <c r="P22" s="22" t="s">
        <v>42</v>
      </c>
      <c r="Q22" s="192"/>
      <c r="R22" s="20"/>
      <c r="S22" s="47"/>
      <c r="T22" s="52"/>
    </row>
    <row r="23" spans="1:20" ht="17" x14ac:dyDescent="0.2">
      <c r="A23" s="72"/>
      <c r="B23" s="196"/>
      <c r="C23" s="25"/>
      <c r="D23" s="45"/>
      <c r="E23" s="47"/>
      <c r="F23" s="32">
        <v>1.6</v>
      </c>
      <c r="G23" s="45" t="s">
        <v>303</v>
      </c>
      <c r="H23" s="43" t="s">
        <v>541</v>
      </c>
      <c r="I23" s="25" t="s">
        <v>402</v>
      </c>
      <c r="J23" s="45" t="s">
        <v>304</v>
      </c>
      <c r="K23" s="46"/>
      <c r="L23" s="49"/>
      <c r="M23" s="47"/>
      <c r="N23" s="47"/>
      <c r="O23" s="49"/>
      <c r="P23" s="47"/>
      <c r="Q23" s="47"/>
      <c r="R23" s="49"/>
      <c r="S23" s="47"/>
      <c r="T23" s="52"/>
    </row>
    <row r="25" spans="1:20" s="122" customFormat="1" ht="16" customHeight="1" x14ac:dyDescent="0.2">
      <c r="A25" s="118"/>
      <c r="B25" s="118"/>
      <c r="C25" s="118">
        <v>2</v>
      </c>
      <c r="D25" s="118"/>
      <c r="E25" s="119"/>
      <c r="F25" s="119" t="s">
        <v>63</v>
      </c>
      <c r="G25" s="119"/>
      <c r="H25" s="119"/>
      <c r="I25" s="119" t="s">
        <v>378</v>
      </c>
      <c r="J25" s="120"/>
      <c r="K25" s="120"/>
      <c r="L25" s="121"/>
      <c r="M25" s="121"/>
      <c r="N25" s="121"/>
      <c r="O25" s="121"/>
      <c r="P25" s="121"/>
      <c r="Q25" s="121"/>
      <c r="R25" s="121"/>
      <c r="S25" s="121"/>
      <c r="T25" s="121"/>
    </row>
    <row r="26" spans="1:20" ht="34" customHeight="1" x14ac:dyDescent="0.2">
      <c r="A26" s="204" t="s">
        <v>0</v>
      </c>
      <c r="B26" s="207" t="s">
        <v>61</v>
      </c>
      <c r="C26" s="11">
        <v>2</v>
      </c>
      <c r="D26" s="151" t="s">
        <v>438</v>
      </c>
      <c r="E26" s="186" t="s">
        <v>542</v>
      </c>
      <c r="F26" s="107">
        <v>2.1</v>
      </c>
      <c r="G26" s="131" t="s">
        <v>62</v>
      </c>
      <c r="H26" s="163" t="s">
        <v>542</v>
      </c>
    </row>
    <row r="27" spans="1:20" ht="17" x14ac:dyDescent="0.2">
      <c r="A27" s="204"/>
      <c r="B27" s="207"/>
      <c r="C27" s="11"/>
      <c r="D27" s="50"/>
      <c r="E27" s="71"/>
      <c r="F27" s="107">
        <v>2.2000000000000002</v>
      </c>
      <c r="G27" s="131" t="s">
        <v>414</v>
      </c>
      <c r="H27" s="185" t="s">
        <v>542</v>
      </c>
      <c r="I27" s="104"/>
      <c r="J27" s="105"/>
      <c r="K27" s="134"/>
    </row>
    <row r="28" spans="1:20" ht="34" x14ac:dyDescent="0.2">
      <c r="A28" s="204"/>
      <c r="B28" s="207"/>
      <c r="C28" s="11"/>
      <c r="D28" s="50"/>
      <c r="F28" s="107">
        <v>2.2999999999999998</v>
      </c>
      <c r="G28" s="131" t="s">
        <v>405</v>
      </c>
      <c r="H28" s="163" t="s">
        <v>542</v>
      </c>
      <c r="I28" s="104"/>
      <c r="J28" s="105"/>
      <c r="K28" s="134"/>
    </row>
    <row r="29" spans="1:20" ht="17" x14ac:dyDescent="0.2">
      <c r="A29" s="204"/>
      <c r="B29" s="207"/>
      <c r="C29" s="11"/>
      <c r="D29" s="50"/>
      <c r="F29" s="107">
        <v>2.4</v>
      </c>
      <c r="G29" s="131" t="s">
        <v>406</v>
      </c>
      <c r="H29" s="173" t="s">
        <v>542</v>
      </c>
      <c r="I29" s="104"/>
      <c r="J29" s="105"/>
      <c r="K29" s="134"/>
    </row>
    <row r="30" spans="1:20" ht="17" x14ac:dyDescent="0.2">
      <c r="A30" s="100"/>
      <c r="B30" s="99"/>
      <c r="C30" s="11"/>
      <c r="D30" s="50"/>
      <c r="F30" s="107">
        <v>2.5</v>
      </c>
      <c r="G30" s="131" t="s">
        <v>407</v>
      </c>
      <c r="H30" s="163" t="s">
        <v>542</v>
      </c>
      <c r="I30" s="104"/>
      <c r="J30" s="105"/>
      <c r="K30" s="134"/>
    </row>
    <row r="31" spans="1:20" ht="34" x14ac:dyDescent="0.2">
      <c r="A31" s="100"/>
      <c r="B31" s="99"/>
      <c r="C31" s="11"/>
      <c r="D31" s="50"/>
      <c r="F31" s="107">
        <v>2.6</v>
      </c>
      <c r="G31" s="131" t="s">
        <v>408</v>
      </c>
      <c r="H31" s="163" t="s">
        <v>542</v>
      </c>
      <c r="I31" s="130" t="s">
        <v>410</v>
      </c>
      <c r="J31" s="107" t="s">
        <v>409</v>
      </c>
      <c r="K31" s="109"/>
    </row>
    <row r="32" spans="1:20" ht="17" x14ac:dyDescent="0.2">
      <c r="A32" s="96"/>
      <c r="B32" s="95"/>
      <c r="C32" s="18"/>
      <c r="D32" s="51"/>
      <c r="E32" s="52"/>
      <c r="F32" s="108">
        <v>2.7</v>
      </c>
      <c r="G32" s="133" t="s">
        <v>411</v>
      </c>
      <c r="H32" s="163" t="s">
        <v>542</v>
      </c>
      <c r="I32" s="106" t="s">
        <v>412</v>
      </c>
      <c r="J32" s="108" t="s">
        <v>413</v>
      </c>
      <c r="K32" s="109"/>
    </row>
    <row r="33" spans="1:21" ht="17" customHeight="1" x14ac:dyDescent="0.2"/>
    <row r="34" spans="1:21" s="2" customFormat="1" ht="16" customHeight="1" x14ac:dyDescent="0.2">
      <c r="A34" s="111"/>
      <c r="B34" s="111"/>
      <c r="C34" s="111">
        <v>3</v>
      </c>
      <c r="D34" s="111"/>
      <c r="E34" s="112"/>
      <c r="F34" s="112" t="s">
        <v>64</v>
      </c>
      <c r="G34" s="112"/>
      <c r="H34" s="112"/>
      <c r="I34" s="112" t="s">
        <v>309</v>
      </c>
      <c r="J34" s="112"/>
      <c r="K34" s="112"/>
      <c r="L34" s="4"/>
      <c r="M34" s="4"/>
      <c r="N34" s="4"/>
      <c r="O34" s="4"/>
      <c r="P34" s="4"/>
      <c r="Q34" s="4"/>
      <c r="R34" s="4"/>
      <c r="S34" s="4"/>
      <c r="T34" s="4"/>
    </row>
    <row r="35" spans="1:21" ht="34" x14ac:dyDescent="0.2">
      <c r="A35" s="197" t="s">
        <v>1</v>
      </c>
      <c r="B35" s="200" t="s">
        <v>502</v>
      </c>
      <c r="C35" s="16">
        <v>3</v>
      </c>
      <c r="D35" s="33" t="s">
        <v>80</v>
      </c>
      <c r="E35" s="178" t="s">
        <v>542</v>
      </c>
      <c r="F35" s="137">
        <v>3.1</v>
      </c>
      <c r="G35" s="135" t="s">
        <v>418</v>
      </c>
      <c r="H35" s="164" t="s">
        <v>542</v>
      </c>
      <c r="I35" s="104"/>
      <c r="J35" s="105"/>
    </row>
    <row r="36" spans="1:21" ht="17" x14ac:dyDescent="0.2">
      <c r="A36" s="198"/>
      <c r="B36" s="201"/>
      <c r="C36" s="10"/>
      <c r="D36" s="17"/>
      <c r="F36" s="137">
        <v>3.2</v>
      </c>
      <c r="G36" s="135" t="s">
        <v>416</v>
      </c>
      <c r="H36" s="163" t="s">
        <v>542</v>
      </c>
      <c r="I36" s="104"/>
      <c r="J36" s="105"/>
      <c r="O36" s="6"/>
      <c r="R36" s="6"/>
    </row>
    <row r="37" spans="1:21" ht="34" x14ac:dyDescent="0.2">
      <c r="A37" s="198"/>
      <c r="B37" s="201"/>
      <c r="C37" s="10"/>
      <c r="D37" s="17"/>
      <c r="F37" s="137">
        <v>3.3</v>
      </c>
      <c r="G37" s="135" t="s">
        <v>420</v>
      </c>
      <c r="H37" s="163" t="s">
        <v>542</v>
      </c>
      <c r="I37" s="132" t="s">
        <v>419</v>
      </c>
      <c r="J37" s="137" t="s">
        <v>421</v>
      </c>
      <c r="K37" s="109"/>
      <c r="O37" s="6"/>
      <c r="R37" s="6"/>
    </row>
    <row r="38" spans="1:21" ht="17" x14ac:dyDescent="0.2">
      <c r="A38" s="198"/>
      <c r="B38" s="201"/>
      <c r="C38" s="10"/>
      <c r="D38" s="17"/>
      <c r="F38" s="137">
        <v>3.4</v>
      </c>
      <c r="G38" s="135" t="s">
        <v>417</v>
      </c>
      <c r="H38" s="163" t="s">
        <v>542</v>
      </c>
      <c r="I38" s="104"/>
      <c r="J38" s="105"/>
      <c r="O38" s="6"/>
      <c r="R38" s="6"/>
    </row>
    <row r="39" spans="1:21" ht="17" x14ac:dyDescent="0.2">
      <c r="A39" s="199"/>
      <c r="B39" s="202"/>
      <c r="C39" s="21"/>
      <c r="D39" s="34"/>
      <c r="E39" s="52"/>
      <c r="F39" s="138">
        <v>3.5</v>
      </c>
      <c r="G39" s="136" t="s">
        <v>134</v>
      </c>
      <c r="H39" s="163" t="s">
        <v>542</v>
      </c>
      <c r="I39" s="103" t="s">
        <v>307</v>
      </c>
      <c r="J39" s="138" t="s">
        <v>308</v>
      </c>
      <c r="K39" s="88"/>
      <c r="L39" s="20"/>
      <c r="M39" s="29"/>
      <c r="N39" s="52"/>
      <c r="O39" s="29"/>
      <c r="P39" s="29"/>
      <c r="Q39" s="52"/>
      <c r="R39" s="29"/>
      <c r="S39" s="29"/>
      <c r="T39" s="52"/>
    </row>
    <row r="40" spans="1:21" x14ac:dyDescent="0.2">
      <c r="A40" s="8"/>
      <c r="B40" s="3"/>
      <c r="D40" s="3"/>
      <c r="G40" s="3"/>
      <c r="O40" s="6"/>
      <c r="R40" s="6"/>
    </row>
    <row r="41" spans="1:21" s="117" customFormat="1" ht="16" customHeight="1" x14ac:dyDescent="0.2">
      <c r="A41" s="113"/>
      <c r="B41" s="113"/>
      <c r="C41" s="123">
        <v>4</v>
      </c>
      <c r="D41" s="113"/>
      <c r="E41" s="114"/>
      <c r="F41" s="119" t="s">
        <v>65</v>
      </c>
      <c r="G41" s="114"/>
      <c r="H41" s="114"/>
      <c r="I41" s="119" t="s">
        <v>380</v>
      </c>
      <c r="J41" s="115"/>
      <c r="K41" s="115"/>
      <c r="L41" s="121"/>
      <c r="M41" s="116"/>
      <c r="N41" s="116"/>
      <c r="O41" s="116"/>
      <c r="P41" s="116"/>
      <c r="Q41" s="116"/>
      <c r="R41" s="116"/>
      <c r="S41" s="116"/>
      <c r="T41" s="116"/>
    </row>
    <row r="42" spans="1:21" ht="67" customHeight="1" x14ac:dyDescent="0.2">
      <c r="A42" s="203" t="s">
        <v>7</v>
      </c>
      <c r="B42" s="206" t="s">
        <v>8</v>
      </c>
      <c r="C42" s="140">
        <v>4</v>
      </c>
      <c r="D42" s="69" t="s">
        <v>364</v>
      </c>
      <c r="E42" s="164" t="s">
        <v>542</v>
      </c>
      <c r="F42" s="12">
        <v>4.0999999999999996</v>
      </c>
      <c r="G42" s="69" t="s">
        <v>310</v>
      </c>
      <c r="H42" s="164" t="s">
        <v>542</v>
      </c>
      <c r="J42" s="7"/>
      <c r="O42" s="6"/>
      <c r="R42" s="6"/>
    </row>
    <row r="43" spans="1:21" ht="53" customHeight="1" x14ac:dyDescent="0.2">
      <c r="A43" s="204"/>
      <c r="B43" s="207"/>
      <c r="D43" s="3"/>
      <c r="F43" s="12">
        <v>4.2</v>
      </c>
      <c r="G43" s="69" t="s">
        <v>311</v>
      </c>
      <c r="H43" s="163" t="s">
        <v>542</v>
      </c>
      <c r="J43" s="7"/>
      <c r="U43" s="2"/>
    </row>
    <row r="44" spans="1:21" ht="51" x14ac:dyDescent="0.2">
      <c r="A44" s="205"/>
      <c r="B44" s="208"/>
      <c r="C44" s="20"/>
      <c r="D44" s="29"/>
      <c r="E44" s="52"/>
      <c r="F44" s="19">
        <v>4.3</v>
      </c>
      <c r="G44" s="152" t="s">
        <v>506</v>
      </c>
      <c r="H44" s="163" t="s">
        <v>542</v>
      </c>
      <c r="I44" s="18" t="s">
        <v>78</v>
      </c>
      <c r="J44" s="19" t="s">
        <v>79</v>
      </c>
      <c r="K44" s="88"/>
      <c r="L44" s="20"/>
      <c r="M44" s="29"/>
      <c r="N44" s="52"/>
      <c r="O44" s="20"/>
      <c r="P44" s="29"/>
      <c r="Q44" s="52"/>
      <c r="R44" s="20"/>
      <c r="S44" s="29"/>
      <c r="T44" s="52"/>
      <c r="U44" s="2"/>
    </row>
    <row r="45" spans="1:21" x14ac:dyDescent="0.2">
      <c r="O45" s="6"/>
      <c r="R45" s="6"/>
    </row>
    <row r="46" spans="1:21" ht="16" customHeight="1" x14ac:dyDescent="0.2">
      <c r="A46" s="77"/>
      <c r="B46" s="77"/>
      <c r="C46" s="77">
        <v>5</v>
      </c>
      <c r="D46" s="77"/>
      <c r="E46" s="85"/>
      <c r="F46" s="112" t="s">
        <v>67</v>
      </c>
      <c r="G46" s="72"/>
      <c r="H46" s="85"/>
      <c r="O46" s="6"/>
      <c r="R46" s="6"/>
    </row>
    <row r="47" spans="1:21" ht="68" x14ac:dyDescent="0.2">
      <c r="A47" s="23" t="s">
        <v>17</v>
      </c>
      <c r="B47" s="22" t="s">
        <v>18</v>
      </c>
      <c r="C47" s="21">
        <v>5</v>
      </c>
      <c r="D47" s="22" t="s">
        <v>81</v>
      </c>
      <c r="E47" s="164" t="s">
        <v>542</v>
      </c>
      <c r="F47" s="22">
        <v>5.0999999999999996</v>
      </c>
      <c r="G47" s="153" t="s">
        <v>507</v>
      </c>
      <c r="H47" s="86"/>
      <c r="I47" s="20"/>
      <c r="J47" s="29"/>
      <c r="K47" s="52"/>
      <c r="L47" s="20"/>
      <c r="M47" s="29"/>
      <c r="N47" s="52"/>
      <c r="O47" s="29"/>
      <c r="P47" s="29"/>
      <c r="Q47" s="52"/>
      <c r="R47" s="29"/>
      <c r="S47" s="29"/>
      <c r="T47" s="52"/>
    </row>
    <row r="48" spans="1:21" x14ac:dyDescent="0.2">
      <c r="O48" s="6"/>
      <c r="R48" s="6"/>
    </row>
    <row r="49" spans="1:20" s="122" customFormat="1" ht="16" customHeight="1" x14ac:dyDescent="0.2">
      <c r="A49" s="118">
        <v>6</v>
      </c>
      <c r="B49" s="118"/>
      <c r="C49" s="118"/>
      <c r="D49" s="118"/>
      <c r="E49" s="119"/>
      <c r="F49" s="119" t="s">
        <v>68</v>
      </c>
      <c r="G49" s="119"/>
      <c r="H49" s="119"/>
      <c r="I49" s="119" t="s">
        <v>381</v>
      </c>
      <c r="J49" s="120"/>
      <c r="K49" s="120"/>
      <c r="L49" s="121"/>
      <c r="M49" s="121"/>
      <c r="N49" s="121"/>
      <c r="O49" s="121"/>
      <c r="P49" s="121"/>
      <c r="Q49" s="121"/>
      <c r="R49" s="121"/>
      <c r="S49" s="121"/>
      <c r="T49" s="121"/>
    </row>
    <row r="50" spans="1:20" ht="34" x14ac:dyDescent="0.2">
      <c r="A50" s="149" t="s">
        <v>13</v>
      </c>
      <c r="B50" s="38" t="s">
        <v>14</v>
      </c>
      <c r="C50" s="11">
        <v>6</v>
      </c>
      <c r="D50" s="50" t="s">
        <v>82</v>
      </c>
      <c r="E50" s="164" t="s">
        <v>542</v>
      </c>
      <c r="F50" s="12">
        <v>6.1</v>
      </c>
      <c r="G50" s="50" t="s">
        <v>132</v>
      </c>
      <c r="H50" s="164" t="s">
        <v>542</v>
      </c>
      <c r="J50" s="7"/>
      <c r="K50" s="87"/>
      <c r="O50" s="6"/>
      <c r="R50" s="6"/>
    </row>
    <row r="51" spans="1:20" ht="17" x14ac:dyDescent="0.2">
      <c r="A51" s="78"/>
      <c r="B51" s="12"/>
      <c r="C51" s="11"/>
      <c r="D51" s="50"/>
      <c r="F51" s="12">
        <v>6.2</v>
      </c>
      <c r="G51" s="69" t="s">
        <v>274</v>
      </c>
      <c r="H51" s="164" t="s">
        <v>542</v>
      </c>
      <c r="J51" s="7"/>
      <c r="K51" s="87"/>
      <c r="O51" s="6"/>
      <c r="R51" s="6"/>
    </row>
    <row r="52" spans="1:20" ht="17" x14ac:dyDescent="0.2">
      <c r="A52" s="78"/>
      <c r="B52" s="12"/>
      <c r="C52" s="11"/>
      <c r="D52" s="50"/>
      <c r="F52" s="12">
        <v>6.4</v>
      </c>
      <c r="G52" s="50" t="s">
        <v>133</v>
      </c>
      <c r="H52" s="164" t="s">
        <v>542</v>
      </c>
      <c r="J52" s="7"/>
      <c r="K52" s="87"/>
      <c r="O52" s="6"/>
      <c r="R52" s="6"/>
    </row>
    <row r="53" spans="1:20" ht="17" x14ac:dyDescent="0.2">
      <c r="A53" s="78"/>
      <c r="B53" s="12"/>
      <c r="C53" s="11"/>
      <c r="D53" s="50"/>
      <c r="F53" s="12">
        <v>6.5</v>
      </c>
      <c r="G53" s="69" t="s">
        <v>314</v>
      </c>
      <c r="H53" s="164" t="s">
        <v>542</v>
      </c>
      <c r="J53" s="7"/>
      <c r="K53" s="87"/>
      <c r="O53" s="6"/>
      <c r="R53" s="6"/>
    </row>
    <row r="54" spans="1:20" ht="17" x14ac:dyDescent="0.2">
      <c r="A54" s="78"/>
      <c r="B54" s="12"/>
      <c r="C54" s="11"/>
      <c r="D54" s="50"/>
      <c r="F54" s="12">
        <v>6.6</v>
      </c>
      <c r="G54" s="69" t="s">
        <v>313</v>
      </c>
      <c r="H54" s="164" t="s">
        <v>542</v>
      </c>
      <c r="J54" s="7"/>
      <c r="K54" s="87"/>
      <c r="O54" s="6"/>
      <c r="R54" s="6"/>
    </row>
    <row r="55" spans="1:20" ht="17" x14ac:dyDescent="0.2">
      <c r="A55" s="73"/>
      <c r="B55" s="19"/>
      <c r="C55" s="18"/>
      <c r="D55" s="51"/>
      <c r="E55" s="52"/>
      <c r="F55" s="19">
        <v>6.7</v>
      </c>
      <c r="G55" s="51" t="s">
        <v>134</v>
      </c>
      <c r="H55" s="164" t="s">
        <v>542</v>
      </c>
      <c r="I55" s="18" t="s">
        <v>83</v>
      </c>
      <c r="J55" s="53" t="s">
        <v>84</v>
      </c>
      <c r="K55" s="91"/>
      <c r="L55" s="20"/>
      <c r="M55" s="29"/>
      <c r="N55" s="52"/>
      <c r="O55" s="29"/>
      <c r="P55" s="29"/>
      <c r="Q55" s="52"/>
      <c r="R55" s="29"/>
      <c r="S55" s="29"/>
      <c r="T55" s="52"/>
    </row>
    <row r="56" spans="1:20" x14ac:dyDescent="0.2">
      <c r="B56" s="3"/>
      <c r="D56" s="3"/>
      <c r="G56" s="3"/>
      <c r="J56" s="7"/>
      <c r="K56" s="87"/>
      <c r="O56" s="6"/>
      <c r="R56" s="6"/>
    </row>
    <row r="57" spans="1:20" x14ac:dyDescent="0.2">
      <c r="O57" s="6"/>
      <c r="R57" s="6"/>
    </row>
    <row r="58" spans="1:20" ht="16" customHeight="1" x14ac:dyDescent="0.2">
      <c r="A58" s="111"/>
      <c r="B58" s="111"/>
      <c r="C58" s="111">
        <v>7</v>
      </c>
      <c r="D58" s="111"/>
      <c r="E58" s="112"/>
      <c r="F58" s="112" t="s">
        <v>69</v>
      </c>
      <c r="G58" s="112"/>
      <c r="H58" s="112"/>
      <c r="I58" s="112" t="s">
        <v>70</v>
      </c>
      <c r="J58" s="112"/>
      <c r="K58" s="112"/>
      <c r="O58" s="6"/>
      <c r="R58" s="6"/>
    </row>
    <row r="59" spans="1:20" ht="34" customHeight="1" x14ac:dyDescent="0.2">
      <c r="A59" s="197" t="s">
        <v>3</v>
      </c>
      <c r="B59" s="209" t="s">
        <v>9</v>
      </c>
      <c r="C59" s="10">
        <v>7</v>
      </c>
      <c r="D59" s="135" t="s">
        <v>433</v>
      </c>
      <c r="E59" s="190" t="s">
        <v>542</v>
      </c>
      <c r="F59" s="17">
        <v>7.1</v>
      </c>
      <c r="G59" s="74" t="s">
        <v>85</v>
      </c>
      <c r="H59" s="48" t="s">
        <v>542</v>
      </c>
      <c r="I59" s="24" t="s">
        <v>91</v>
      </c>
      <c r="J59" s="54" t="s">
        <v>112</v>
      </c>
      <c r="K59" s="183" t="s">
        <v>542</v>
      </c>
      <c r="O59" s="6"/>
      <c r="R59" s="6"/>
    </row>
    <row r="60" spans="1:20" ht="17" x14ac:dyDescent="0.2">
      <c r="A60" s="198"/>
      <c r="B60" s="201"/>
      <c r="C60" s="10"/>
      <c r="D60" s="33"/>
      <c r="F60" s="17"/>
      <c r="G60" s="31"/>
      <c r="H60" s="44"/>
      <c r="I60" s="24" t="s">
        <v>92</v>
      </c>
      <c r="J60" s="54" t="s">
        <v>113</v>
      </c>
      <c r="K60" s="191" t="s">
        <v>542</v>
      </c>
      <c r="O60" s="6"/>
      <c r="R60" s="6"/>
    </row>
    <row r="61" spans="1:20" ht="17" x14ac:dyDescent="0.2">
      <c r="A61" s="198"/>
      <c r="B61" s="201"/>
      <c r="C61" s="10"/>
      <c r="D61" s="33"/>
      <c r="F61" s="17"/>
      <c r="G61" s="31"/>
      <c r="H61" s="44"/>
      <c r="I61" s="24" t="s">
        <v>93</v>
      </c>
      <c r="J61" s="54" t="s">
        <v>114</v>
      </c>
      <c r="K61" s="183" t="s">
        <v>542</v>
      </c>
      <c r="O61" s="6"/>
      <c r="R61" s="6"/>
    </row>
    <row r="62" spans="1:20" ht="17" x14ac:dyDescent="0.2">
      <c r="A62" s="198"/>
      <c r="B62" s="201"/>
      <c r="C62" s="10"/>
      <c r="D62" s="33"/>
      <c r="F62" s="22"/>
      <c r="G62" s="32"/>
      <c r="H62" s="47"/>
      <c r="I62" s="25" t="s">
        <v>94</v>
      </c>
      <c r="J62" s="55" t="s">
        <v>115</v>
      </c>
      <c r="K62" s="171" t="s">
        <v>542</v>
      </c>
      <c r="O62" s="6"/>
      <c r="R62" s="6"/>
    </row>
    <row r="63" spans="1:20" ht="33" customHeight="1" x14ac:dyDescent="0.2">
      <c r="A63" s="198"/>
      <c r="B63" s="201"/>
      <c r="C63" s="10"/>
      <c r="D63" s="33"/>
      <c r="F63" s="26">
        <v>7.2</v>
      </c>
      <c r="G63" s="26" t="s">
        <v>86</v>
      </c>
      <c r="H63" s="173" t="s">
        <v>542</v>
      </c>
      <c r="I63" s="27" t="s">
        <v>95</v>
      </c>
      <c r="J63" s="56" t="s">
        <v>116</v>
      </c>
      <c r="K63" s="180" t="s">
        <v>542</v>
      </c>
      <c r="O63" s="6"/>
      <c r="R63" s="6"/>
    </row>
    <row r="64" spans="1:20" ht="19" customHeight="1" x14ac:dyDescent="0.2">
      <c r="A64" s="198"/>
      <c r="B64" s="201"/>
      <c r="C64" s="10"/>
      <c r="D64" s="33"/>
      <c r="F64" s="17"/>
      <c r="G64" s="17"/>
      <c r="I64" s="10" t="s">
        <v>96</v>
      </c>
      <c r="J64" s="54" t="s">
        <v>117</v>
      </c>
      <c r="K64" s="92" t="s">
        <v>542</v>
      </c>
      <c r="O64" s="6"/>
      <c r="R64" s="6"/>
    </row>
    <row r="65" spans="1:20" ht="17" x14ac:dyDescent="0.2">
      <c r="A65" s="198"/>
      <c r="B65" s="201"/>
      <c r="C65" s="10"/>
      <c r="D65" s="33"/>
      <c r="F65" s="17"/>
      <c r="G65" s="17"/>
      <c r="I65" s="10" t="s">
        <v>97</v>
      </c>
      <c r="J65" s="54" t="s">
        <v>118</v>
      </c>
      <c r="K65" s="175" t="s">
        <v>542</v>
      </c>
      <c r="O65" s="6"/>
      <c r="R65" s="6"/>
    </row>
    <row r="66" spans="1:20" ht="17" x14ac:dyDescent="0.2">
      <c r="A66" s="198"/>
      <c r="B66" s="201"/>
      <c r="C66" s="10"/>
      <c r="D66" s="33"/>
      <c r="F66" s="22"/>
      <c r="G66" s="22"/>
      <c r="H66" s="52"/>
      <c r="I66" s="21" t="s">
        <v>98</v>
      </c>
      <c r="J66" s="55" t="s">
        <v>119</v>
      </c>
      <c r="K66" s="175" t="s">
        <v>542</v>
      </c>
      <c r="O66" s="6"/>
      <c r="R66" s="6"/>
    </row>
    <row r="67" spans="1:20" ht="36" customHeight="1" x14ac:dyDescent="0.2">
      <c r="A67" s="198"/>
      <c r="B67" s="201"/>
      <c r="C67" s="10"/>
      <c r="D67" s="33"/>
      <c r="F67" s="26">
        <v>7.3</v>
      </c>
      <c r="G67" s="74" t="s">
        <v>87</v>
      </c>
      <c r="H67" s="43" t="s">
        <v>542</v>
      </c>
      <c r="I67" s="28" t="s">
        <v>99</v>
      </c>
      <c r="J67" s="26" t="s">
        <v>120</v>
      </c>
      <c r="K67" s="183" t="s">
        <v>542</v>
      </c>
      <c r="O67" s="6"/>
      <c r="R67" s="6"/>
    </row>
    <row r="68" spans="1:20" ht="17" x14ac:dyDescent="0.2">
      <c r="A68" s="198"/>
      <c r="B68" s="201"/>
      <c r="C68" s="10"/>
      <c r="D68" s="33"/>
      <c r="F68" s="17"/>
      <c r="G68" s="31"/>
      <c r="H68" s="44"/>
      <c r="I68" s="24" t="s">
        <v>100</v>
      </c>
      <c r="J68" s="54" t="s">
        <v>121</v>
      </c>
      <c r="K68" s="92" t="s">
        <v>542</v>
      </c>
      <c r="O68" s="6"/>
      <c r="R68" s="6"/>
    </row>
    <row r="69" spans="1:20" ht="17" x14ac:dyDescent="0.2">
      <c r="A69" s="198"/>
      <c r="B69" s="201"/>
      <c r="C69" s="10"/>
      <c r="D69" s="33"/>
      <c r="F69" s="17"/>
      <c r="G69" s="31"/>
      <c r="H69" s="44"/>
      <c r="I69" s="24" t="s">
        <v>101</v>
      </c>
      <c r="J69" s="54" t="s">
        <v>122</v>
      </c>
      <c r="K69" s="183" t="s">
        <v>542</v>
      </c>
      <c r="O69" s="6"/>
      <c r="R69" s="6"/>
    </row>
    <row r="70" spans="1:20" ht="17" x14ac:dyDescent="0.2">
      <c r="A70" s="198"/>
      <c r="B70" s="201"/>
      <c r="C70" s="10"/>
      <c r="D70" s="33"/>
      <c r="F70" s="22"/>
      <c r="G70" s="32"/>
      <c r="H70" s="47"/>
      <c r="I70" s="25" t="s">
        <v>102</v>
      </c>
      <c r="J70" s="55" t="s">
        <v>123</v>
      </c>
      <c r="K70" s="92" t="s">
        <v>542</v>
      </c>
      <c r="O70" s="6"/>
      <c r="R70" s="6"/>
    </row>
    <row r="71" spans="1:20" ht="36" customHeight="1" x14ac:dyDescent="0.2">
      <c r="A71" s="198"/>
      <c r="B71" s="201"/>
      <c r="C71" s="10"/>
      <c r="D71" s="33"/>
      <c r="F71" s="26">
        <v>7.4</v>
      </c>
      <c r="G71" s="74" t="s">
        <v>88</v>
      </c>
      <c r="H71" s="43" t="s">
        <v>542</v>
      </c>
      <c r="I71" s="28" t="s">
        <v>103</v>
      </c>
      <c r="J71" s="56" t="s">
        <v>124</v>
      </c>
      <c r="K71" s="167" t="s">
        <v>542</v>
      </c>
      <c r="O71" s="6"/>
      <c r="R71" s="6"/>
    </row>
    <row r="72" spans="1:20" ht="17" x14ac:dyDescent="0.2">
      <c r="A72" s="198"/>
      <c r="B72" s="201"/>
      <c r="C72" s="10"/>
      <c r="D72" s="33"/>
      <c r="F72" s="17"/>
      <c r="G72" s="31"/>
      <c r="H72" s="44"/>
      <c r="I72" s="24" t="s">
        <v>104</v>
      </c>
      <c r="J72" s="54" t="s">
        <v>125</v>
      </c>
      <c r="K72" s="92" t="s">
        <v>542</v>
      </c>
      <c r="O72" s="6"/>
      <c r="R72" s="6"/>
    </row>
    <row r="73" spans="1:20" ht="17" x14ac:dyDescent="0.2">
      <c r="A73" s="198"/>
      <c r="B73" s="201"/>
      <c r="C73" s="10"/>
      <c r="D73" s="33"/>
      <c r="F73" s="17"/>
      <c r="G73" s="31"/>
      <c r="H73" s="44"/>
      <c r="I73" s="24" t="s">
        <v>105</v>
      </c>
      <c r="J73" s="54" t="s">
        <v>126</v>
      </c>
      <c r="K73" s="183" t="s">
        <v>542</v>
      </c>
      <c r="O73" s="6"/>
      <c r="R73" s="6"/>
    </row>
    <row r="74" spans="1:20" ht="17" x14ac:dyDescent="0.2">
      <c r="A74" s="198"/>
      <c r="B74" s="201"/>
      <c r="C74" s="10"/>
      <c r="D74" s="33"/>
      <c r="F74" s="22"/>
      <c r="G74" s="32"/>
      <c r="H74" s="47"/>
      <c r="I74" s="25" t="s">
        <v>106</v>
      </c>
      <c r="J74" s="55" t="s">
        <v>127</v>
      </c>
      <c r="K74" s="92" t="s">
        <v>542</v>
      </c>
      <c r="O74" s="6"/>
      <c r="R74" s="6"/>
    </row>
    <row r="75" spans="1:20" ht="34" customHeight="1" x14ac:dyDescent="0.2">
      <c r="A75" s="198"/>
      <c r="B75" s="201"/>
      <c r="C75" s="10"/>
      <c r="D75" s="33"/>
      <c r="F75" s="26">
        <v>7.5</v>
      </c>
      <c r="G75" s="74" t="s">
        <v>89</v>
      </c>
      <c r="H75" s="43" t="s">
        <v>542</v>
      </c>
      <c r="I75" s="28" t="s">
        <v>107</v>
      </c>
      <c r="J75" s="56" t="s">
        <v>128</v>
      </c>
      <c r="K75" s="191" t="s">
        <v>542</v>
      </c>
      <c r="O75" s="6"/>
      <c r="R75" s="6"/>
    </row>
    <row r="76" spans="1:20" ht="17" x14ac:dyDescent="0.2">
      <c r="A76" s="198"/>
      <c r="B76" s="201"/>
      <c r="C76" s="10"/>
      <c r="D76" s="33"/>
      <c r="F76" s="17"/>
      <c r="G76" s="31"/>
      <c r="H76" s="44"/>
      <c r="I76" s="24" t="s">
        <v>108</v>
      </c>
      <c r="J76" s="54" t="s">
        <v>129</v>
      </c>
      <c r="K76" s="92" t="s">
        <v>542</v>
      </c>
      <c r="O76" s="6"/>
      <c r="R76" s="6"/>
    </row>
    <row r="77" spans="1:20" ht="17" x14ac:dyDescent="0.2">
      <c r="A77" s="198"/>
      <c r="B77" s="201"/>
      <c r="C77" s="10"/>
      <c r="D77" s="33"/>
      <c r="F77" s="17"/>
      <c r="G77" s="31"/>
      <c r="H77" s="44"/>
      <c r="I77" s="24" t="s">
        <v>109</v>
      </c>
      <c r="J77" s="54" t="s">
        <v>130</v>
      </c>
      <c r="K77" s="183" t="s">
        <v>542</v>
      </c>
      <c r="O77" s="6"/>
      <c r="R77" s="6"/>
    </row>
    <row r="78" spans="1:20" ht="17" x14ac:dyDescent="0.2">
      <c r="A78" s="198"/>
      <c r="B78" s="201"/>
      <c r="C78" s="10"/>
      <c r="D78" s="33"/>
      <c r="F78" s="22"/>
      <c r="G78" s="32"/>
      <c r="H78" s="47"/>
      <c r="I78" s="25" t="s">
        <v>110</v>
      </c>
      <c r="J78" s="55" t="s">
        <v>131</v>
      </c>
      <c r="K78" s="175" t="s">
        <v>542</v>
      </c>
      <c r="O78" s="6"/>
      <c r="R78" s="6"/>
    </row>
    <row r="79" spans="1:20" ht="33" customHeight="1" x14ac:dyDescent="0.2">
      <c r="A79" s="199"/>
      <c r="B79" s="202"/>
      <c r="C79" s="21"/>
      <c r="D79" s="34"/>
      <c r="E79" s="52"/>
      <c r="F79" s="22">
        <v>7.6</v>
      </c>
      <c r="G79" s="22" t="s">
        <v>90</v>
      </c>
      <c r="H79" s="164" t="s">
        <v>542</v>
      </c>
      <c r="I79" s="21" t="s">
        <v>111</v>
      </c>
      <c r="J79" s="139" t="s">
        <v>434</v>
      </c>
      <c r="K79" s="93"/>
      <c r="L79" s="20"/>
      <c r="M79" s="29"/>
      <c r="N79" s="52"/>
      <c r="O79" s="29"/>
      <c r="P79" s="29"/>
      <c r="Q79" s="52"/>
      <c r="R79" s="29"/>
      <c r="S79" s="29"/>
      <c r="T79" s="52"/>
    </row>
    <row r="80" spans="1:20" x14ac:dyDescent="0.2">
      <c r="B80" s="3"/>
      <c r="D80" s="3"/>
      <c r="G80" s="3"/>
      <c r="J80" s="7"/>
      <c r="K80" s="87"/>
      <c r="O80" s="6"/>
      <c r="R80" s="6"/>
    </row>
    <row r="81" spans="1:18" ht="16" customHeight="1" x14ac:dyDescent="0.2">
      <c r="A81" s="123"/>
      <c r="B81" s="123"/>
      <c r="C81" s="123">
        <v>8</v>
      </c>
      <c r="D81" s="123"/>
      <c r="E81" s="110"/>
      <c r="F81" s="110" t="s">
        <v>71</v>
      </c>
      <c r="G81" s="110"/>
      <c r="H81" s="110"/>
      <c r="I81" s="124" t="s">
        <v>72</v>
      </c>
      <c r="J81" s="124"/>
      <c r="K81" s="124"/>
      <c r="O81" s="6"/>
      <c r="R81" s="6"/>
    </row>
    <row r="82" spans="1:18" ht="34" customHeight="1" x14ac:dyDescent="0.2">
      <c r="A82" s="203" t="s">
        <v>4</v>
      </c>
      <c r="B82" s="206" t="s">
        <v>10</v>
      </c>
      <c r="C82" s="11">
        <v>8</v>
      </c>
      <c r="D82" s="50" t="s">
        <v>176</v>
      </c>
      <c r="E82" s="190" t="s">
        <v>542</v>
      </c>
      <c r="F82" s="12">
        <v>8.1</v>
      </c>
      <c r="G82" s="75" t="s">
        <v>135</v>
      </c>
      <c r="H82" s="48" t="s">
        <v>542</v>
      </c>
      <c r="I82" s="35" t="s">
        <v>141</v>
      </c>
      <c r="J82" s="57" t="s">
        <v>160</v>
      </c>
      <c r="K82" s="175" t="s">
        <v>542</v>
      </c>
      <c r="O82" s="6"/>
      <c r="R82" s="6"/>
    </row>
    <row r="83" spans="1:18" ht="17" x14ac:dyDescent="0.2">
      <c r="A83" s="204"/>
      <c r="B83" s="207"/>
      <c r="C83" s="11"/>
      <c r="D83" s="12"/>
      <c r="F83" s="12"/>
      <c r="G83" s="67"/>
      <c r="H83" s="44"/>
      <c r="I83" s="35" t="s">
        <v>142</v>
      </c>
      <c r="J83" s="57" t="s">
        <v>161</v>
      </c>
      <c r="K83" s="92" t="s">
        <v>542</v>
      </c>
      <c r="O83" s="6"/>
      <c r="R83" s="6"/>
    </row>
    <row r="84" spans="1:18" ht="17" x14ac:dyDescent="0.2">
      <c r="A84" s="204"/>
      <c r="B84" s="207"/>
      <c r="C84" s="11"/>
      <c r="D84" s="50"/>
      <c r="F84" s="12"/>
      <c r="G84" s="67"/>
      <c r="H84" s="44"/>
      <c r="I84" s="35" t="s">
        <v>143</v>
      </c>
      <c r="J84" s="58" t="s">
        <v>162</v>
      </c>
      <c r="K84" s="166" t="s">
        <v>542</v>
      </c>
      <c r="O84" s="6"/>
      <c r="R84" s="6"/>
    </row>
    <row r="85" spans="1:18" ht="17" x14ac:dyDescent="0.2">
      <c r="A85" s="204"/>
      <c r="B85" s="207"/>
      <c r="C85" s="11"/>
      <c r="D85" s="50"/>
      <c r="F85" s="19"/>
      <c r="G85" s="76"/>
      <c r="H85" s="47"/>
      <c r="I85" s="37" t="s">
        <v>144</v>
      </c>
      <c r="J85" s="59" t="s">
        <v>163</v>
      </c>
      <c r="K85" s="171" t="s">
        <v>542</v>
      </c>
      <c r="O85" s="6"/>
      <c r="R85" s="6"/>
    </row>
    <row r="86" spans="1:18" ht="34" customHeight="1" x14ac:dyDescent="0.2">
      <c r="A86" s="204"/>
      <c r="B86" s="207"/>
      <c r="C86" s="11"/>
      <c r="D86" s="50"/>
      <c r="F86" s="38">
        <v>8.1999999999999993</v>
      </c>
      <c r="G86" s="38" t="s">
        <v>136</v>
      </c>
      <c r="H86" s="179" t="s">
        <v>542</v>
      </c>
      <c r="I86" s="39" t="s">
        <v>145</v>
      </c>
      <c r="J86" s="60" t="s">
        <v>164</v>
      </c>
      <c r="K86" s="92" t="s">
        <v>542</v>
      </c>
      <c r="O86" s="6"/>
      <c r="R86" s="6"/>
    </row>
    <row r="87" spans="1:18" ht="17" x14ac:dyDescent="0.2">
      <c r="A87" s="204"/>
      <c r="B87" s="207"/>
      <c r="C87" s="11"/>
      <c r="D87" s="50"/>
      <c r="F87" s="12"/>
      <c r="G87" s="12"/>
      <c r="I87" s="11" t="s">
        <v>146</v>
      </c>
      <c r="J87" s="61" t="s">
        <v>165</v>
      </c>
      <c r="K87" s="92" t="s">
        <v>542</v>
      </c>
      <c r="O87" s="6"/>
      <c r="R87" s="6"/>
    </row>
    <row r="88" spans="1:18" ht="17" x14ac:dyDescent="0.2">
      <c r="A88" s="204"/>
      <c r="B88" s="207"/>
      <c r="C88" s="11"/>
      <c r="D88" s="50"/>
      <c r="F88" s="12"/>
      <c r="G88" s="12"/>
      <c r="I88" s="11" t="s">
        <v>147</v>
      </c>
      <c r="J88" s="61" t="s">
        <v>166</v>
      </c>
      <c r="K88" s="92" t="s">
        <v>542</v>
      </c>
      <c r="O88" s="6"/>
      <c r="R88" s="6"/>
    </row>
    <row r="89" spans="1:18" ht="17" x14ac:dyDescent="0.2">
      <c r="A89" s="204"/>
      <c r="B89" s="207"/>
      <c r="C89" s="11"/>
      <c r="D89" s="50"/>
      <c r="F89" s="19"/>
      <c r="G89" s="19"/>
      <c r="H89" s="52"/>
      <c r="I89" s="18" t="s">
        <v>148</v>
      </c>
      <c r="J89" s="53" t="s">
        <v>167</v>
      </c>
      <c r="K89" s="175" t="s">
        <v>542</v>
      </c>
      <c r="O89" s="6"/>
      <c r="R89" s="6"/>
    </row>
    <row r="90" spans="1:18" ht="32" customHeight="1" x14ac:dyDescent="0.2">
      <c r="A90" s="204"/>
      <c r="B90" s="207"/>
      <c r="C90" s="11"/>
      <c r="D90" s="50"/>
      <c r="F90" s="38">
        <v>8.3000000000000007</v>
      </c>
      <c r="G90" s="75" t="s">
        <v>137</v>
      </c>
      <c r="H90" s="43" t="s">
        <v>542</v>
      </c>
      <c r="I90" s="40" t="s">
        <v>149</v>
      </c>
      <c r="J90" s="62" t="s">
        <v>168</v>
      </c>
      <c r="K90" s="92" t="s">
        <v>542</v>
      </c>
      <c r="O90" s="6"/>
      <c r="R90" s="6"/>
    </row>
    <row r="91" spans="1:18" ht="16" customHeight="1" x14ac:dyDescent="0.2">
      <c r="A91" s="204"/>
      <c r="B91" s="207"/>
      <c r="C91" s="11"/>
      <c r="D91" s="50"/>
      <c r="F91" s="12"/>
      <c r="G91" s="67"/>
      <c r="H91" s="44"/>
      <c r="I91" s="35" t="s">
        <v>150</v>
      </c>
      <c r="J91" s="61" t="s">
        <v>169</v>
      </c>
      <c r="K91" s="171" t="s">
        <v>542</v>
      </c>
      <c r="O91" s="6"/>
      <c r="R91" s="6"/>
    </row>
    <row r="92" spans="1:18" ht="17" x14ac:dyDescent="0.2">
      <c r="A92" s="204"/>
      <c r="B92" s="207"/>
      <c r="C92" s="11"/>
      <c r="D92" s="50"/>
      <c r="F92" s="19"/>
      <c r="G92" s="76"/>
      <c r="H92" s="47"/>
      <c r="I92" s="37" t="s">
        <v>151</v>
      </c>
      <c r="J92" s="53" t="s">
        <v>170</v>
      </c>
      <c r="K92" s="168" t="s">
        <v>542</v>
      </c>
      <c r="O92" s="6"/>
      <c r="R92" s="6"/>
    </row>
    <row r="93" spans="1:18" ht="33" customHeight="1" x14ac:dyDescent="0.2">
      <c r="A93" s="204"/>
      <c r="B93" s="207"/>
      <c r="C93" s="11"/>
      <c r="D93" s="50"/>
      <c r="F93" s="38">
        <v>8.4</v>
      </c>
      <c r="G93" s="75" t="s">
        <v>138</v>
      </c>
      <c r="H93" s="43" t="s">
        <v>542</v>
      </c>
      <c r="I93" s="40" t="s">
        <v>152</v>
      </c>
      <c r="J93" s="60" t="s">
        <v>171</v>
      </c>
      <c r="K93" s="92" t="s">
        <v>542</v>
      </c>
      <c r="O93" s="6"/>
      <c r="R93" s="6"/>
    </row>
    <row r="94" spans="1:18" ht="17" x14ac:dyDescent="0.2">
      <c r="A94" s="204"/>
      <c r="B94" s="207"/>
      <c r="C94" s="11"/>
      <c r="D94" s="50"/>
      <c r="F94" s="12"/>
      <c r="G94" s="67"/>
      <c r="H94" s="44"/>
      <c r="I94" s="35" t="s">
        <v>153</v>
      </c>
      <c r="J94" s="61" t="s">
        <v>172</v>
      </c>
      <c r="K94" s="92" t="s">
        <v>542</v>
      </c>
      <c r="O94" s="6"/>
      <c r="R94" s="6"/>
    </row>
    <row r="95" spans="1:18" ht="17" x14ac:dyDescent="0.2">
      <c r="A95" s="204"/>
      <c r="B95" s="207"/>
      <c r="C95" s="11"/>
      <c r="D95" s="50"/>
      <c r="F95" s="19"/>
      <c r="G95" s="76"/>
      <c r="H95" s="47"/>
      <c r="I95" s="37" t="s">
        <v>154</v>
      </c>
      <c r="J95" s="150" t="s">
        <v>504</v>
      </c>
      <c r="K95" s="165" t="s">
        <v>542</v>
      </c>
      <c r="O95" s="6"/>
      <c r="R95" s="6"/>
    </row>
    <row r="96" spans="1:18" ht="34" customHeight="1" x14ac:dyDescent="0.2">
      <c r="A96" s="204"/>
      <c r="B96" s="207"/>
      <c r="C96" s="11"/>
      <c r="D96" s="50"/>
      <c r="F96" s="38">
        <v>8.5</v>
      </c>
      <c r="G96" s="75" t="s">
        <v>139</v>
      </c>
      <c r="H96" s="43" t="s">
        <v>542</v>
      </c>
      <c r="I96" s="40" t="s">
        <v>155</v>
      </c>
      <c r="J96" s="60" t="s">
        <v>173</v>
      </c>
      <c r="K96" s="92" t="s">
        <v>542</v>
      </c>
      <c r="O96" s="6"/>
      <c r="R96" s="6"/>
    </row>
    <row r="97" spans="1:20" ht="17" x14ac:dyDescent="0.2">
      <c r="A97" s="204"/>
      <c r="B97" s="207"/>
      <c r="C97" s="11"/>
      <c r="D97" s="50"/>
      <c r="F97" s="12"/>
      <c r="G97" s="67"/>
      <c r="H97" s="44"/>
      <c r="I97" s="35" t="s">
        <v>156</v>
      </c>
      <c r="J97" s="61" t="s">
        <v>174</v>
      </c>
      <c r="K97" s="191" t="s">
        <v>542</v>
      </c>
      <c r="O97" s="6"/>
      <c r="R97" s="6"/>
    </row>
    <row r="98" spans="1:20" ht="17" x14ac:dyDescent="0.2">
      <c r="A98" s="204"/>
      <c r="B98" s="207"/>
      <c r="C98" s="11"/>
      <c r="D98" s="50"/>
      <c r="F98" s="12"/>
      <c r="G98" s="67"/>
      <c r="H98" s="44"/>
      <c r="I98" s="35" t="s">
        <v>157</v>
      </c>
      <c r="J98" s="161" t="s">
        <v>514</v>
      </c>
      <c r="K98" s="191" t="s">
        <v>542</v>
      </c>
      <c r="O98" s="6"/>
      <c r="R98" s="6"/>
    </row>
    <row r="99" spans="1:20" ht="17" x14ac:dyDescent="0.2">
      <c r="A99" s="204"/>
      <c r="B99" s="207"/>
      <c r="C99" s="11"/>
      <c r="D99" s="50"/>
      <c r="F99" s="19"/>
      <c r="G99" s="76"/>
      <c r="H99" s="47"/>
      <c r="I99" s="37" t="s">
        <v>513</v>
      </c>
      <c r="J99" s="53" t="s">
        <v>175</v>
      </c>
      <c r="K99" s="191" t="s">
        <v>542</v>
      </c>
      <c r="O99" s="6"/>
      <c r="R99" s="6"/>
    </row>
    <row r="100" spans="1:20" ht="35" customHeight="1" x14ac:dyDescent="0.2">
      <c r="A100" s="205"/>
      <c r="B100" s="208"/>
      <c r="C100" s="18"/>
      <c r="D100" s="51"/>
      <c r="E100" s="52"/>
      <c r="F100" s="19">
        <v>8.6</v>
      </c>
      <c r="G100" s="19" t="s">
        <v>140</v>
      </c>
      <c r="H100" s="186" t="s">
        <v>542</v>
      </c>
      <c r="I100" s="18" t="s">
        <v>158</v>
      </c>
      <c r="J100" s="36" t="s">
        <v>159</v>
      </c>
      <c r="K100" s="184"/>
      <c r="L100" s="20"/>
      <c r="M100" s="29"/>
      <c r="N100" s="52"/>
      <c r="O100" s="29"/>
      <c r="P100" s="29"/>
      <c r="Q100" s="52"/>
      <c r="R100" s="29"/>
      <c r="S100" s="29"/>
      <c r="T100" s="52"/>
    </row>
    <row r="101" spans="1:20" x14ac:dyDescent="0.2">
      <c r="B101" s="3"/>
      <c r="D101" s="3"/>
      <c r="G101" s="3"/>
      <c r="J101" s="7"/>
      <c r="K101" s="87"/>
      <c r="O101" s="6"/>
      <c r="R101" s="6"/>
    </row>
    <row r="102" spans="1:20" s="2" customFormat="1" ht="16" customHeight="1" x14ac:dyDescent="0.2">
      <c r="A102" s="111"/>
      <c r="B102" s="111"/>
      <c r="C102" s="111">
        <v>9</v>
      </c>
      <c r="D102" s="111"/>
      <c r="E102" s="112"/>
      <c r="F102" s="112" t="s">
        <v>73</v>
      </c>
      <c r="G102" s="112"/>
      <c r="H102" s="112"/>
      <c r="I102" s="127" t="s">
        <v>74</v>
      </c>
      <c r="J102" s="127"/>
      <c r="K102" s="127"/>
      <c r="L102" s="16" t="s">
        <v>370</v>
      </c>
      <c r="M102" s="10"/>
      <c r="N102" s="10"/>
      <c r="O102" s="4"/>
      <c r="P102" s="4"/>
      <c r="Q102" s="4"/>
      <c r="R102" s="4"/>
      <c r="S102" s="4"/>
      <c r="T102" s="4"/>
    </row>
    <row r="103" spans="1:20" ht="32" customHeight="1" x14ac:dyDescent="0.2">
      <c r="A103" s="197" t="s">
        <v>5</v>
      </c>
      <c r="B103" s="210" t="s">
        <v>11</v>
      </c>
      <c r="C103" s="10">
        <v>9</v>
      </c>
      <c r="D103" s="33" t="s">
        <v>177</v>
      </c>
      <c r="E103" s="174" t="s">
        <v>542</v>
      </c>
      <c r="F103" s="26">
        <v>9.1</v>
      </c>
      <c r="G103" s="74" t="s">
        <v>236</v>
      </c>
      <c r="H103" s="43" t="s">
        <v>542</v>
      </c>
      <c r="I103" s="28" t="s">
        <v>178</v>
      </c>
      <c r="J103" s="63" t="s">
        <v>214</v>
      </c>
      <c r="K103" s="172" t="s">
        <v>542</v>
      </c>
      <c r="L103" s="128" t="s">
        <v>365</v>
      </c>
      <c r="M103" s="97" t="s">
        <v>366</v>
      </c>
      <c r="N103" s="169"/>
      <c r="O103" s="6"/>
      <c r="R103" s="6"/>
    </row>
    <row r="104" spans="1:20" ht="17" x14ac:dyDescent="0.2">
      <c r="A104" s="198"/>
      <c r="B104" s="201"/>
      <c r="C104" s="10"/>
      <c r="D104" s="33"/>
      <c r="F104" s="17"/>
      <c r="G104" s="31"/>
      <c r="H104" s="44"/>
      <c r="I104" s="24" t="s">
        <v>179</v>
      </c>
      <c r="J104" s="64" t="s">
        <v>215</v>
      </c>
      <c r="K104" s="94" t="s">
        <v>542</v>
      </c>
      <c r="O104" s="6"/>
      <c r="R104" s="6"/>
    </row>
    <row r="105" spans="1:20" ht="17" x14ac:dyDescent="0.2">
      <c r="A105" s="198"/>
      <c r="B105" s="201"/>
      <c r="C105" s="10"/>
      <c r="D105" s="33"/>
      <c r="F105" s="17"/>
      <c r="G105" s="31"/>
      <c r="H105" s="44"/>
      <c r="I105" s="24" t="s">
        <v>180</v>
      </c>
      <c r="J105" s="64" t="s">
        <v>216</v>
      </c>
      <c r="K105" s="94" t="s">
        <v>542</v>
      </c>
      <c r="O105" s="6"/>
      <c r="R105" s="6"/>
    </row>
    <row r="106" spans="1:20" ht="17" x14ac:dyDescent="0.2">
      <c r="A106" s="198"/>
      <c r="B106" s="201"/>
      <c r="C106" s="10"/>
      <c r="D106" s="33"/>
      <c r="F106" s="22"/>
      <c r="G106" s="32"/>
      <c r="H106" s="47"/>
      <c r="I106" s="25" t="s">
        <v>181</v>
      </c>
      <c r="J106" s="65" t="s">
        <v>217</v>
      </c>
      <c r="K106" s="94" t="s">
        <v>542</v>
      </c>
      <c r="O106" s="6"/>
      <c r="R106" s="6"/>
    </row>
    <row r="107" spans="1:20" ht="33" customHeight="1" x14ac:dyDescent="0.2">
      <c r="A107" s="198"/>
      <c r="B107" s="201"/>
      <c r="C107" s="10"/>
      <c r="D107" s="33"/>
      <c r="F107" s="26">
        <v>9.1999999999999993</v>
      </c>
      <c r="G107" s="26" t="s">
        <v>209</v>
      </c>
      <c r="H107" s="83" t="s">
        <v>542</v>
      </c>
      <c r="I107" s="27" t="s">
        <v>182</v>
      </c>
      <c r="J107" s="63" t="s">
        <v>218</v>
      </c>
      <c r="K107" s="94" t="s">
        <v>542</v>
      </c>
      <c r="L107" s="128" t="s">
        <v>367</v>
      </c>
      <c r="M107" s="97" t="s">
        <v>366</v>
      </c>
      <c r="N107" s="98"/>
      <c r="O107" s="6"/>
      <c r="R107" s="6"/>
    </row>
    <row r="108" spans="1:20" ht="17" x14ac:dyDescent="0.2">
      <c r="A108" s="198"/>
      <c r="B108" s="201"/>
      <c r="C108" s="10"/>
      <c r="D108" s="33"/>
      <c r="F108" s="17"/>
      <c r="G108" s="17"/>
      <c r="I108" s="10" t="s">
        <v>183</v>
      </c>
      <c r="J108" s="64" t="s">
        <v>219</v>
      </c>
      <c r="K108" s="94" t="s">
        <v>542</v>
      </c>
      <c r="O108" s="6"/>
      <c r="R108" s="6"/>
    </row>
    <row r="109" spans="1:20" ht="17" x14ac:dyDescent="0.2">
      <c r="A109" s="198"/>
      <c r="B109" s="201"/>
      <c r="C109" s="10"/>
      <c r="D109" s="33"/>
      <c r="F109" s="17"/>
      <c r="G109" s="17"/>
      <c r="I109" s="10" t="s">
        <v>184</v>
      </c>
      <c r="J109" s="64" t="s">
        <v>220</v>
      </c>
      <c r="K109" s="94" t="s">
        <v>542</v>
      </c>
      <c r="O109" s="6"/>
      <c r="R109" s="6"/>
    </row>
    <row r="110" spans="1:20" ht="17" x14ac:dyDescent="0.2">
      <c r="A110" s="198"/>
      <c r="B110" s="201"/>
      <c r="C110" s="10"/>
      <c r="D110" s="33"/>
      <c r="F110" s="22"/>
      <c r="G110" s="22"/>
      <c r="H110" s="52"/>
      <c r="I110" s="21" t="s">
        <v>185</v>
      </c>
      <c r="J110" s="65" t="s">
        <v>221</v>
      </c>
      <c r="K110" s="94" t="s">
        <v>542</v>
      </c>
      <c r="O110" s="6"/>
      <c r="R110" s="6"/>
    </row>
    <row r="111" spans="1:20" ht="34" customHeight="1" x14ac:dyDescent="0.2">
      <c r="A111" s="198"/>
      <c r="B111" s="201"/>
      <c r="C111" s="10"/>
      <c r="D111" s="33"/>
      <c r="F111" s="26">
        <v>9.3000000000000007</v>
      </c>
      <c r="G111" s="74" t="s">
        <v>210</v>
      </c>
      <c r="H111" s="43" t="s">
        <v>542</v>
      </c>
      <c r="I111" s="28" t="s">
        <v>186</v>
      </c>
      <c r="J111" s="66" t="s">
        <v>222</v>
      </c>
      <c r="K111" s="94" t="s">
        <v>542</v>
      </c>
      <c r="L111" s="128" t="s">
        <v>368</v>
      </c>
      <c r="M111" s="97" t="s">
        <v>366</v>
      </c>
      <c r="N111" s="98"/>
      <c r="O111" s="6"/>
      <c r="R111" s="6"/>
    </row>
    <row r="112" spans="1:20" ht="17" x14ac:dyDescent="0.2">
      <c r="A112" s="198"/>
      <c r="B112" s="201"/>
      <c r="C112" s="10"/>
      <c r="D112" s="33"/>
      <c r="F112" s="17"/>
      <c r="G112" s="31"/>
      <c r="H112" s="44"/>
      <c r="I112" s="24" t="s">
        <v>187</v>
      </c>
      <c r="J112" s="64" t="s">
        <v>223</v>
      </c>
      <c r="K112" s="94" t="s">
        <v>542</v>
      </c>
      <c r="O112" s="6"/>
      <c r="R112" s="6"/>
    </row>
    <row r="113" spans="1:20" ht="17" x14ac:dyDescent="0.2">
      <c r="A113" s="198"/>
      <c r="B113" s="201"/>
      <c r="C113" s="10"/>
      <c r="D113" s="33"/>
      <c r="F113" s="17"/>
      <c r="G113" s="31"/>
      <c r="H113" s="44"/>
      <c r="I113" s="24" t="s">
        <v>188</v>
      </c>
      <c r="J113" s="64" t="s">
        <v>224</v>
      </c>
      <c r="K113" s="94" t="s">
        <v>542</v>
      </c>
      <c r="O113" s="6"/>
      <c r="R113" s="6"/>
    </row>
    <row r="114" spans="1:20" ht="17" x14ac:dyDescent="0.2">
      <c r="A114" s="198"/>
      <c r="B114" s="201"/>
      <c r="C114" s="10"/>
      <c r="D114" s="33"/>
      <c r="F114" s="22"/>
      <c r="G114" s="32"/>
      <c r="H114" s="47"/>
      <c r="I114" s="25" t="s">
        <v>189</v>
      </c>
      <c r="J114" s="65" t="s">
        <v>225</v>
      </c>
      <c r="K114" s="94" t="s">
        <v>542</v>
      </c>
      <c r="O114" s="6"/>
      <c r="R114" s="6"/>
    </row>
    <row r="115" spans="1:20" ht="34" customHeight="1" x14ac:dyDescent="0.2">
      <c r="A115" s="198"/>
      <c r="B115" s="201"/>
      <c r="C115" s="10"/>
      <c r="D115" s="33"/>
      <c r="F115" s="17">
        <v>9.4</v>
      </c>
      <c r="G115" s="74" t="s">
        <v>211</v>
      </c>
      <c r="H115" s="48" t="s">
        <v>542</v>
      </c>
      <c r="I115" s="24" t="s">
        <v>190</v>
      </c>
      <c r="J115" s="64" t="s">
        <v>226</v>
      </c>
      <c r="K115" s="94" t="s">
        <v>542</v>
      </c>
      <c r="L115" s="128" t="s">
        <v>368</v>
      </c>
      <c r="M115" s="97" t="s">
        <v>366</v>
      </c>
      <c r="N115" s="98"/>
      <c r="O115" s="6"/>
      <c r="R115" s="6"/>
    </row>
    <row r="116" spans="1:20" ht="17" x14ac:dyDescent="0.2">
      <c r="A116" s="198"/>
      <c r="B116" s="201"/>
      <c r="C116" s="10"/>
      <c r="D116" s="33"/>
      <c r="F116" s="17"/>
      <c r="G116" s="31"/>
      <c r="H116" s="44"/>
      <c r="I116" s="24" t="s">
        <v>191</v>
      </c>
      <c r="J116" s="64" t="s">
        <v>227</v>
      </c>
      <c r="K116" s="94" t="s">
        <v>542</v>
      </c>
      <c r="O116" s="6"/>
      <c r="R116" s="6"/>
    </row>
    <row r="117" spans="1:20" ht="17" x14ac:dyDescent="0.2">
      <c r="A117" s="198"/>
      <c r="B117" s="201"/>
      <c r="C117" s="10"/>
      <c r="D117" s="33"/>
      <c r="F117" s="17"/>
      <c r="G117" s="31"/>
      <c r="H117" s="44"/>
      <c r="I117" s="24" t="s">
        <v>192</v>
      </c>
      <c r="J117" s="64" t="s">
        <v>228</v>
      </c>
      <c r="K117" s="94" t="s">
        <v>542</v>
      </c>
      <c r="O117" s="6"/>
      <c r="R117" s="6"/>
    </row>
    <row r="118" spans="1:20" ht="17" x14ac:dyDescent="0.2">
      <c r="A118" s="198"/>
      <c r="B118" s="201"/>
      <c r="C118" s="10"/>
      <c r="D118" s="33"/>
      <c r="F118" s="22"/>
      <c r="G118" s="32"/>
      <c r="H118" s="47"/>
      <c r="I118" s="25" t="s">
        <v>193</v>
      </c>
      <c r="J118" s="65" t="s">
        <v>229</v>
      </c>
      <c r="K118" s="94" t="s">
        <v>542</v>
      </c>
      <c r="O118" s="6"/>
      <c r="R118" s="6"/>
    </row>
    <row r="119" spans="1:20" ht="34" customHeight="1" x14ac:dyDescent="0.2">
      <c r="A119" s="198"/>
      <c r="B119" s="201"/>
      <c r="C119" s="10"/>
      <c r="D119" s="33"/>
      <c r="F119" s="17">
        <v>9.5</v>
      </c>
      <c r="G119" s="74" t="s">
        <v>212</v>
      </c>
      <c r="H119" s="48" t="s">
        <v>542</v>
      </c>
      <c r="I119" s="24" t="s">
        <v>194</v>
      </c>
      <c r="J119" s="64" t="s">
        <v>230</v>
      </c>
      <c r="K119" s="176" t="s">
        <v>542</v>
      </c>
      <c r="L119" s="128" t="s">
        <v>369</v>
      </c>
      <c r="M119" s="97" t="s">
        <v>366</v>
      </c>
      <c r="N119" s="177"/>
      <c r="O119" s="6"/>
      <c r="R119" s="6"/>
    </row>
    <row r="120" spans="1:20" ht="17" x14ac:dyDescent="0.2">
      <c r="A120" s="198"/>
      <c r="B120" s="201"/>
      <c r="C120" s="10"/>
      <c r="D120" s="33"/>
      <c r="F120" s="17"/>
      <c r="G120" s="31"/>
      <c r="H120" s="44"/>
      <c r="I120" s="24" t="s">
        <v>195</v>
      </c>
      <c r="J120" s="64" t="s">
        <v>231</v>
      </c>
      <c r="K120" s="94" t="s">
        <v>542</v>
      </c>
      <c r="O120" s="6"/>
      <c r="R120" s="6"/>
    </row>
    <row r="121" spans="1:20" ht="17" x14ac:dyDescent="0.2">
      <c r="A121" s="198"/>
      <c r="B121" s="201"/>
      <c r="C121" s="10"/>
      <c r="D121" s="33"/>
      <c r="F121" s="17"/>
      <c r="G121" s="31"/>
      <c r="H121" s="44"/>
      <c r="I121" s="24" t="s">
        <v>196</v>
      </c>
      <c r="J121" s="64" t="s">
        <v>232</v>
      </c>
      <c r="K121" s="94" t="s">
        <v>542</v>
      </c>
      <c r="O121" s="6"/>
      <c r="R121" s="6"/>
    </row>
    <row r="122" spans="1:20" ht="17" x14ac:dyDescent="0.2">
      <c r="A122" s="198"/>
      <c r="B122" s="201"/>
      <c r="C122" s="10"/>
      <c r="D122" s="33"/>
      <c r="F122" s="22"/>
      <c r="G122" s="32"/>
      <c r="H122" s="47"/>
      <c r="I122" s="25" t="s">
        <v>197</v>
      </c>
      <c r="J122" s="65" t="s">
        <v>233</v>
      </c>
      <c r="K122" s="94" t="s">
        <v>542</v>
      </c>
      <c r="O122" s="6"/>
      <c r="R122" s="6"/>
    </row>
    <row r="123" spans="1:20" ht="34" x14ac:dyDescent="0.2">
      <c r="A123" s="199"/>
      <c r="B123" s="202"/>
      <c r="C123" s="21"/>
      <c r="D123" s="34"/>
      <c r="E123" s="52"/>
      <c r="F123" s="22">
        <v>9.6</v>
      </c>
      <c r="G123" s="34" t="s">
        <v>213</v>
      </c>
      <c r="H123" s="84" t="s">
        <v>542</v>
      </c>
      <c r="I123" s="21" t="s">
        <v>198</v>
      </c>
      <c r="J123" s="55" t="s">
        <v>199</v>
      </c>
      <c r="K123" s="91"/>
      <c r="L123" s="20"/>
      <c r="M123" s="29"/>
      <c r="N123" s="52"/>
      <c r="O123" s="29"/>
      <c r="P123" s="29"/>
      <c r="Q123" s="52"/>
      <c r="R123" s="29"/>
      <c r="S123" s="29"/>
      <c r="T123" s="52"/>
    </row>
    <row r="124" spans="1:20" x14ac:dyDescent="0.2">
      <c r="B124" s="3"/>
      <c r="D124" s="3"/>
      <c r="G124" s="3"/>
      <c r="J124" s="7"/>
      <c r="K124" s="87"/>
      <c r="O124" s="6"/>
      <c r="R124" s="6"/>
    </row>
    <row r="125" spans="1:20" s="2" customFormat="1" ht="16" customHeight="1" x14ac:dyDescent="0.2">
      <c r="A125" s="111"/>
      <c r="B125" s="111"/>
      <c r="C125" s="111">
        <v>10</v>
      </c>
      <c r="D125" s="111"/>
      <c r="E125" s="112"/>
      <c r="F125" s="112" t="s">
        <v>75</v>
      </c>
      <c r="G125" s="112"/>
      <c r="H125" s="112"/>
      <c r="I125" s="127" t="s">
        <v>76</v>
      </c>
      <c r="J125" s="127"/>
      <c r="K125" s="127"/>
      <c r="L125" s="16" t="s">
        <v>441</v>
      </c>
      <c r="M125" s="10"/>
      <c r="N125" s="10"/>
      <c r="O125" s="4"/>
      <c r="P125" s="4"/>
      <c r="Q125" s="4"/>
      <c r="R125" s="4"/>
      <c r="S125" s="4"/>
      <c r="T125" s="4"/>
    </row>
    <row r="126" spans="1:20" ht="32" customHeight="1" x14ac:dyDescent="0.2">
      <c r="A126" s="197" t="s">
        <v>439</v>
      </c>
      <c r="B126" s="211" t="s">
        <v>440</v>
      </c>
      <c r="C126" s="10">
        <v>9</v>
      </c>
      <c r="D126" s="33" t="s">
        <v>177</v>
      </c>
      <c r="E126" s="84" t="s">
        <v>542</v>
      </c>
      <c r="F126" s="26">
        <v>10.1</v>
      </c>
      <c r="G126" s="74" t="s">
        <v>236</v>
      </c>
      <c r="H126" s="43" t="s">
        <v>542</v>
      </c>
      <c r="I126" s="28" t="s">
        <v>442</v>
      </c>
      <c r="J126" s="63" t="s">
        <v>214</v>
      </c>
      <c r="K126" s="94" t="s">
        <v>542</v>
      </c>
      <c r="L126" s="144" t="s">
        <v>462</v>
      </c>
      <c r="M126" s="97" t="s">
        <v>366</v>
      </c>
      <c r="N126" s="98"/>
      <c r="O126" s="6"/>
      <c r="R126" s="6"/>
    </row>
    <row r="127" spans="1:20" ht="17" x14ac:dyDescent="0.2">
      <c r="A127" s="198"/>
      <c r="B127" s="201"/>
      <c r="C127" s="10"/>
      <c r="D127" s="33"/>
      <c r="F127" s="17"/>
      <c r="G127" s="31"/>
      <c r="H127" s="44"/>
      <c r="I127" s="24" t="s">
        <v>443</v>
      </c>
      <c r="J127" s="64" t="s">
        <v>215</v>
      </c>
      <c r="K127" s="94" t="s">
        <v>542</v>
      </c>
      <c r="O127" s="6"/>
      <c r="R127" s="6"/>
    </row>
    <row r="128" spans="1:20" ht="17" x14ac:dyDescent="0.2">
      <c r="A128" s="198"/>
      <c r="B128" s="201"/>
      <c r="C128" s="10"/>
      <c r="D128" s="33"/>
      <c r="F128" s="17"/>
      <c r="G128" s="31"/>
      <c r="H128" s="44"/>
      <c r="I128" s="24" t="s">
        <v>444</v>
      </c>
      <c r="J128" s="64" t="s">
        <v>216</v>
      </c>
      <c r="K128" s="94" t="s">
        <v>542</v>
      </c>
      <c r="O128" s="6"/>
      <c r="R128" s="6"/>
    </row>
    <row r="129" spans="1:18" ht="17" x14ac:dyDescent="0.2">
      <c r="A129" s="198"/>
      <c r="B129" s="201"/>
      <c r="C129" s="10"/>
      <c r="D129" s="33"/>
      <c r="F129" s="22"/>
      <c r="G129" s="32"/>
      <c r="H129" s="47"/>
      <c r="I129" s="25" t="s">
        <v>445</v>
      </c>
      <c r="J129" s="65" t="s">
        <v>217</v>
      </c>
      <c r="K129" s="94" t="s">
        <v>542</v>
      </c>
      <c r="O129" s="6"/>
      <c r="R129" s="6"/>
    </row>
    <row r="130" spans="1:18" ht="33" customHeight="1" x14ac:dyDescent="0.2">
      <c r="A130" s="198"/>
      <c r="B130" s="201"/>
      <c r="C130" s="10"/>
      <c r="D130" s="33"/>
      <c r="F130" s="26">
        <v>10.199999999999999</v>
      </c>
      <c r="G130" s="26" t="s">
        <v>209</v>
      </c>
      <c r="H130" s="83" t="s">
        <v>542</v>
      </c>
      <c r="I130" s="141" t="s">
        <v>446</v>
      </c>
      <c r="J130" s="63" t="s">
        <v>218</v>
      </c>
      <c r="K130" s="94" t="s">
        <v>542</v>
      </c>
      <c r="L130" s="144" t="s">
        <v>463</v>
      </c>
      <c r="M130" s="97" t="s">
        <v>366</v>
      </c>
      <c r="N130" s="98"/>
      <c r="O130" s="6"/>
      <c r="R130" s="6"/>
    </row>
    <row r="131" spans="1:18" ht="17" x14ac:dyDescent="0.2">
      <c r="A131" s="198"/>
      <c r="B131" s="201"/>
      <c r="C131" s="10"/>
      <c r="D131" s="33"/>
      <c r="F131" s="17"/>
      <c r="G131" s="17"/>
      <c r="I131" s="142" t="s">
        <v>447</v>
      </c>
      <c r="J131" s="64" t="s">
        <v>219</v>
      </c>
      <c r="K131" s="94" t="s">
        <v>542</v>
      </c>
      <c r="O131" s="6"/>
      <c r="R131" s="6"/>
    </row>
    <row r="132" spans="1:18" ht="17" x14ac:dyDescent="0.2">
      <c r="A132" s="198"/>
      <c r="B132" s="201"/>
      <c r="C132" s="10"/>
      <c r="D132" s="33"/>
      <c r="F132" s="17"/>
      <c r="G132" s="17"/>
      <c r="I132" s="142" t="s">
        <v>448</v>
      </c>
      <c r="J132" s="64" t="s">
        <v>220</v>
      </c>
      <c r="K132" s="94" t="s">
        <v>542</v>
      </c>
      <c r="O132" s="6"/>
      <c r="R132" s="6"/>
    </row>
    <row r="133" spans="1:18" ht="17" x14ac:dyDescent="0.2">
      <c r="A133" s="198"/>
      <c r="B133" s="201"/>
      <c r="C133" s="10"/>
      <c r="D133" s="33"/>
      <c r="F133" s="22"/>
      <c r="G133" s="22"/>
      <c r="H133" s="52"/>
      <c r="I133" s="143" t="s">
        <v>449</v>
      </c>
      <c r="J133" s="65" t="s">
        <v>221</v>
      </c>
      <c r="K133" s="94" t="s">
        <v>542</v>
      </c>
      <c r="O133" s="6"/>
      <c r="R133" s="6"/>
    </row>
    <row r="134" spans="1:18" ht="34" customHeight="1" x14ac:dyDescent="0.2">
      <c r="A134" s="198"/>
      <c r="B134" s="201"/>
      <c r="C134" s="10"/>
      <c r="D134" s="33"/>
      <c r="F134" s="26">
        <v>10.3</v>
      </c>
      <c r="G134" s="74" t="s">
        <v>210</v>
      </c>
      <c r="H134" s="43" t="s">
        <v>542</v>
      </c>
      <c r="I134" s="28" t="s">
        <v>450</v>
      </c>
      <c r="J134" s="66" t="s">
        <v>222</v>
      </c>
      <c r="K134" s="94" t="s">
        <v>542</v>
      </c>
      <c r="L134" s="144" t="s">
        <v>464</v>
      </c>
      <c r="M134" s="97" t="s">
        <v>366</v>
      </c>
      <c r="N134" s="98"/>
      <c r="O134" s="6"/>
      <c r="R134" s="6"/>
    </row>
    <row r="135" spans="1:18" ht="17" x14ac:dyDescent="0.2">
      <c r="A135" s="198"/>
      <c r="B135" s="201"/>
      <c r="C135" s="10"/>
      <c r="D135" s="33"/>
      <c r="F135" s="17"/>
      <c r="G135" s="31"/>
      <c r="H135" s="44"/>
      <c r="I135" s="24" t="s">
        <v>451</v>
      </c>
      <c r="J135" s="64" t="s">
        <v>223</v>
      </c>
      <c r="K135" s="94" t="s">
        <v>542</v>
      </c>
      <c r="O135" s="6"/>
      <c r="R135" s="6"/>
    </row>
    <row r="136" spans="1:18" ht="17" x14ac:dyDescent="0.2">
      <c r="A136" s="198"/>
      <c r="B136" s="201"/>
      <c r="C136" s="10"/>
      <c r="D136" s="33"/>
      <c r="F136" s="17"/>
      <c r="G136" s="31"/>
      <c r="H136" s="44"/>
      <c r="I136" s="24" t="s">
        <v>452</v>
      </c>
      <c r="J136" s="64" t="s">
        <v>224</v>
      </c>
      <c r="K136" s="94" t="s">
        <v>542</v>
      </c>
      <c r="O136" s="6"/>
      <c r="R136" s="6"/>
    </row>
    <row r="137" spans="1:18" ht="17" x14ac:dyDescent="0.2">
      <c r="A137" s="198"/>
      <c r="B137" s="201"/>
      <c r="C137" s="10"/>
      <c r="D137" s="33"/>
      <c r="F137" s="22"/>
      <c r="G137" s="32"/>
      <c r="H137" s="47"/>
      <c r="I137" s="25" t="s">
        <v>453</v>
      </c>
      <c r="J137" s="65" t="s">
        <v>225</v>
      </c>
      <c r="K137" s="94" t="s">
        <v>542</v>
      </c>
      <c r="O137" s="6"/>
      <c r="R137" s="6"/>
    </row>
    <row r="138" spans="1:18" ht="34" customHeight="1" x14ac:dyDescent="0.2">
      <c r="A138" s="198"/>
      <c r="B138" s="201"/>
      <c r="C138" s="10"/>
      <c r="D138" s="33"/>
      <c r="F138" s="17">
        <v>10.4</v>
      </c>
      <c r="G138" s="74" t="s">
        <v>211</v>
      </c>
      <c r="H138" s="48" t="s">
        <v>542</v>
      </c>
      <c r="I138" s="24" t="s">
        <v>454</v>
      </c>
      <c r="J138" s="64" t="s">
        <v>226</v>
      </c>
      <c r="K138" s="94" t="s">
        <v>542</v>
      </c>
      <c r="L138" s="144" t="s">
        <v>464</v>
      </c>
      <c r="M138" s="97" t="s">
        <v>366</v>
      </c>
      <c r="N138" s="98"/>
      <c r="O138" s="6"/>
      <c r="R138" s="6"/>
    </row>
    <row r="139" spans="1:18" ht="17" x14ac:dyDescent="0.2">
      <c r="A139" s="198"/>
      <c r="B139" s="201"/>
      <c r="C139" s="10"/>
      <c r="D139" s="33"/>
      <c r="F139" s="17"/>
      <c r="G139" s="31"/>
      <c r="H139" s="44"/>
      <c r="I139" s="24" t="s">
        <v>455</v>
      </c>
      <c r="J139" s="64" t="s">
        <v>227</v>
      </c>
      <c r="K139" s="94" t="s">
        <v>542</v>
      </c>
      <c r="O139" s="6"/>
      <c r="R139" s="6"/>
    </row>
    <row r="140" spans="1:18" ht="17" x14ac:dyDescent="0.2">
      <c r="A140" s="198"/>
      <c r="B140" s="201"/>
      <c r="C140" s="10"/>
      <c r="D140" s="33"/>
      <c r="F140" s="17"/>
      <c r="G140" s="31"/>
      <c r="H140" s="44"/>
      <c r="I140" s="24" t="s">
        <v>456</v>
      </c>
      <c r="J140" s="64" t="s">
        <v>228</v>
      </c>
      <c r="K140" s="94" t="s">
        <v>542</v>
      </c>
      <c r="O140" s="6"/>
      <c r="R140" s="6"/>
    </row>
    <row r="141" spans="1:18" ht="17" x14ac:dyDescent="0.2">
      <c r="A141" s="198"/>
      <c r="B141" s="201"/>
      <c r="C141" s="10"/>
      <c r="D141" s="33"/>
      <c r="F141" s="22"/>
      <c r="G141" s="32"/>
      <c r="H141" s="47"/>
      <c r="I141" s="25" t="s">
        <v>457</v>
      </c>
      <c r="J141" s="65" t="s">
        <v>229</v>
      </c>
      <c r="K141" s="94" t="s">
        <v>542</v>
      </c>
      <c r="O141" s="6"/>
      <c r="R141" s="6"/>
    </row>
    <row r="142" spans="1:18" ht="34" customHeight="1" x14ac:dyDescent="0.2">
      <c r="A142" s="198"/>
      <c r="B142" s="201"/>
      <c r="C142" s="10"/>
      <c r="D142" s="33"/>
      <c r="F142" s="17">
        <v>10.5</v>
      </c>
      <c r="G142" s="74" t="s">
        <v>212</v>
      </c>
      <c r="H142" s="48" t="s">
        <v>542</v>
      </c>
      <c r="I142" s="24" t="s">
        <v>458</v>
      </c>
      <c r="J142" s="64" t="s">
        <v>230</v>
      </c>
      <c r="K142" s="94" t="s">
        <v>542</v>
      </c>
      <c r="L142" s="144" t="s">
        <v>465</v>
      </c>
      <c r="M142" s="97" t="s">
        <v>366</v>
      </c>
      <c r="N142" s="98"/>
      <c r="O142" s="6"/>
      <c r="R142" s="6"/>
    </row>
    <row r="143" spans="1:18" ht="17" x14ac:dyDescent="0.2">
      <c r="A143" s="198"/>
      <c r="B143" s="201"/>
      <c r="C143" s="10"/>
      <c r="D143" s="33"/>
      <c r="F143" s="17"/>
      <c r="G143" s="31"/>
      <c r="H143" s="44"/>
      <c r="I143" s="24" t="s">
        <v>459</v>
      </c>
      <c r="J143" s="64" t="s">
        <v>231</v>
      </c>
      <c r="K143" s="94" t="s">
        <v>542</v>
      </c>
      <c r="O143" s="6"/>
      <c r="R143" s="6"/>
    </row>
    <row r="144" spans="1:18" ht="17" x14ac:dyDescent="0.2">
      <c r="A144" s="198"/>
      <c r="B144" s="201"/>
      <c r="C144" s="10"/>
      <c r="D144" s="33"/>
      <c r="F144" s="17"/>
      <c r="G144" s="31"/>
      <c r="H144" s="44"/>
      <c r="I144" s="24" t="s">
        <v>460</v>
      </c>
      <c r="J144" s="64" t="s">
        <v>232</v>
      </c>
      <c r="K144" s="94" t="s">
        <v>542</v>
      </c>
      <c r="O144" s="6"/>
      <c r="R144" s="6"/>
    </row>
    <row r="145" spans="1:20" ht="17" x14ac:dyDescent="0.2">
      <c r="A145" s="198"/>
      <c r="B145" s="201"/>
      <c r="C145" s="10"/>
      <c r="D145" s="33"/>
      <c r="F145" s="22"/>
      <c r="G145" s="32"/>
      <c r="H145" s="47"/>
      <c r="I145" s="25" t="s">
        <v>461</v>
      </c>
      <c r="J145" s="65" t="s">
        <v>233</v>
      </c>
      <c r="K145" s="94" t="s">
        <v>542</v>
      </c>
      <c r="O145" s="6"/>
      <c r="R145" s="6"/>
    </row>
    <row r="146" spans="1:20" ht="34" x14ac:dyDescent="0.2">
      <c r="A146" s="199"/>
      <c r="B146" s="202"/>
      <c r="C146" s="21"/>
      <c r="D146" s="34"/>
      <c r="E146" s="52"/>
      <c r="F146" s="22">
        <v>10.6</v>
      </c>
      <c r="G146" s="34" t="s">
        <v>213</v>
      </c>
      <c r="H146" s="84" t="s">
        <v>542</v>
      </c>
      <c r="I146" s="143" t="s">
        <v>201</v>
      </c>
      <c r="J146" s="55" t="s">
        <v>199</v>
      </c>
      <c r="K146" s="91"/>
      <c r="L146" s="20"/>
      <c r="M146" s="29"/>
      <c r="N146" s="52"/>
      <c r="O146" s="29"/>
      <c r="P146" s="29"/>
      <c r="Q146" s="52"/>
      <c r="R146" s="29"/>
      <c r="S146" s="29"/>
      <c r="T146" s="52"/>
    </row>
    <row r="147" spans="1:20" x14ac:dyDescent="0.2">
      <c r="A147" s="145"/>
      <c r="B147" s="146"/>
      <c r="C147" s="20"/>
      <c r="D147" s="52"/>
      <c r="E147" s="52"/>
      <c r="F147" s="29"/>
      <c r="G147" s="52"/>
      <c r="H147" s="147"/>
      <c r="I147" s="20"/>
      <c r="J147" s="68"/>
      <c r="K147" s="148"/>
      <c r="O147" s="6"/>
      <c r="R147" s="6"/>
    </row>
    <row r="148" spans="1:20" s="2" customFormat="1" ht="16" customHeight="1" x14ac:dyDescent="0.2">
      <c r="A148" s="123"/>
      <c r="B148" s="123"/>
      <c r="C148" s="123">
        <v>11</v>
      </c>
      <c r="D148" s="123"/>
      <c r="E148" s="110"/>
      <c r="F148" s="110" t="s">
        <v>77</v>
      </c>
      <c r="G148" s="110"/>
      <c r="H148" s="110"/>
      <c r="I148" s="124" t="s">
        <v>466</v>
      </c>
      <c r="J148" s="124"/>
      <c r="K148" s="12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34" customHeight="1" x14ac:dyDescent="0.2">
      <c r="A149" s="203" t="s">
        <v>6</v>
      </c>
      <c r="B149" s="206" t="s">
        <v>12</v>
      </c>
      <c r="C149" s="11">
        <v>10</v>
      </c>
      <c r="D149" s="50" t="s">
        <v>200</v>
      </c>
      <c r="E149" s="84" t="s">
        <v>542</v>
      </c>
      <c r="F149" s="12">
        <v>11.1</v>
      </c>
      <c r="G149" s="67" t="s">
        <v>203</v>
      </c>
      <c r="H149" s="48" t="s">
        <v>542</v>
      </c>
      <c r="I149" s="13"/>
      <c r="J149" s="7"/>
      <c r="K149" s="87"/>
      <c r="O149" s="6"/>
      <c r="R149" s="6"/>
    </row>
    <row r="150" spans="1:20" ht="41" customHeight="1" x14ac:dyDescent="0.2">
      <c r="A150" s="204"/>
      <c r="B150" s="207"/>
      <c r="C150" s="11"/>
      <c r="D150" s="50"/>
      <c r="F150" s="12">
        <v>11.2</v>
      </c>
      <c r="G150" s="12" t="s">
        <v>204</v>
      </c>
      <c r="H150" s="48" t="s">
        <v>542</v>
      </c>
      <c r="J150" s="7"/>
      <c r="K150" s="87"/>
      <c r="O150" s="6"/>
      <c r="R150" s="6"/>
    </row>
    <row r="151" spans="1:20" ht="32" customHeight="1" x14ac:dyDescent="0.2">
      <c r="A151" s="204"/>
      <c r="B151" s="207"/>
      <c r="C151" s="11"/>
      <c r="D151" s="50"/>
      <c r="F151" s="12">
        <v>11.3</v>
      </c>
      <c r="G151" s="67" t="s">
        <v>205</v>
      </c>
      <c r="H151" s="48" t="s">
        <v>542</v>
      </c>
      <c r="I151" s="13"/>
      <c r="O151" s="6"/>
      <c r="R151" s="6"/>
    </row>
    <row r="152" spans="1:20" ht="49" customHeight="1" x14ac:dyDescent="0.2">
      <c r="A152" s="204"/>
      <c r="B152" s="207"/>
      <c r="C152" s="11"/>
      <c r="D152" s="50"/>
      <c r="F152" s="12">
        <v>11.4</v>
      </c>
      <c r="G152" s="67" t="s">
        <v>208</v>
      </c>
      <c r="H152" s="48" t="s">
        <v>542</v>
      </c>
      <c r="I152" s="13"/>
      <c r="J152" s="7"/>
      <c r="K152" s="87"/>
      <c r="O152" s="6"/>
      <c r="R152" s="6"/>
    </row>
    <row r="153" spans="1:20" ht="34" x14ac:dyDescent="0.2">
      <c r="A153" s="204"/>
      <c r="B153" s="207"/>
      <c r="C153" s="11"/>
      <c r="D153" s="50"/>
      <c r="F153" s="12">
        <v>11.5</v>
      </c>
      <c r="G153" s="67" t="s">
        <v>206</v>
      </c>
      <c r="H153" s="48" t="s">
        <v>542</v>
      </c>
      <c r="I153" s="13"/>
      <c r="J153" s="7"/>
      <c r="K153" s="87"/>
      <c r="O153" s="6"/>
      <c r="R153" s="6"/>
    </row>
    <row r="154" spans="1:20" ht="34" x14ac:dyDescent="0.2">
      <c r="A154" s="205"/>
      <c r="B154" s="208"/>
      <c r="C154" s="18"/>
      <c r="D154" s="51"/>
      <c r="E154" s="52"/>
      <c r="F154" s="19">
        <v>11.6</v>
      </c>
      <c r="G154" s="19" t="s">
        <v>207</v>
      </c>
      <c r="H154" s="48" t="s">
        <v>542</v>
      </c>
      <c r="I154" s="37" t="s">
        <v>467</v>
      </c>
      <c r="J154" s="41" t="s">
        <v>202</v>
      </c>
      <c r="K154" s="91"/>
      <c r="L154" s="20"/>
      <c r="M154" s="29"/>
      <c r="N154" s="52"/>
      <c r="O154" s="29"/>
      <c r="P154" s="29"/>
      <c r="Q154" s="52"/>
      <c r="R154" s="29"/>
      <c r="S154" s="29"/>
      <c r="T154" s="52"/>
    </row>
    <row r="155" spans="1:20" x14ac:dyDescent="0.2">
      <c r="D155" s="3"/>
      <c r="G155" s="3"/>
      <c r="J155" s="15"/>
      <c r="K155" s="89"/>
      <c r="O155" s="6"/>
      <c r="R155" s="6"/>
    </row>
    <row r="156" spans="1:20" s="117" customFormat="1" ht="16" customHeight="1" x14ac:dyDescent="0.2">
      <c r="A156" s="111"/>
      <c r="B156" s="125"/>
      <c r="C156" s="125">
        <v>12</v>
      </c>
      <c r="D156" s="125"/>
      <c r="E156" s="126"/>
      <c r="F156" s="112" t="s">
        <v>468</v>
      </c>
      <c r="G156" s="126"/>
      <c r="H156" s="126"/>
      <c r="I156" s="116"/>
      <c r="J156" s="129"/>
      <c r="K156" s="129"/>
      <c r="L156" s="116"/>
      <c r="M156" s="116"/>
      <c r="N156" s="116"/>
      <c r="O156" s="116"/>
      <c r="P156" s="116"/>
      <c r="Q156" s="116"/>
      <c r="R156" s="116"/>
      <c r="S156" s="116"/>
      <c r="T156" s="116"/>
    </row>
    <row r="157" spans="1:20" ht="85" x14ac:dyDescent="0.2">
      <c r="A157" s="23" t="s">
        <v>15</v>
      </c>
      <c r="B157" s="22" t="s">
        <v>16</v>
      </c>
      <c r="C157" s="21">
        <v>12</v>
      </c>
      <c r="D157" s="160" t="s">
        <v>234</v>
      </c>
      <c r="E157" s="84" t="s">
        <v>542</v>
      </c>
      <c r="F157" s="22">
        <v>12.1</v>
      </c>
      <c r="G157" s="22" t="s">
        <v>235</v>
      </c>
      <c r="H157" s="93"/>
      <c r="I157" s="30"/>
      <c r="J157" s="68"/>
      <c r="K157" s="90"/>
      <c r="L157" s="20"/>
      <c r="M157" s="29"/>
      <c r="N157" s="52"/>
      <c r="O157" s="29"/>
      <c r="P157" s="29"/>
      <c r="Q157" s="52"/>
      <c r="R157" s="29"/>
      <c r="S157" s="29"/>
      <c r="T157" s="52"/>
    </row>
    <row r="158" spans="1:20" x14ac:dyDescent="0.2">
      <c r="H158" s="87"/>
      <c r="I158" s="14"/>
      <c r="J158" s="7"/>
      <c r="K158" s="87"/>
      <c r="O158" s="6"/>
      <c r="R158" s="6"/>
    </row>
  </sheetData>
  <mergeCells count="18">
    <mergeCell ref="B149:B154"/>
    <mergeCell ref="A149:A154"/>
    <mergeCell ref="A103:A123"/>
    <mergeCell ref="B103:B123"/>
    <mergeCell ref="A126:A146"/>
    <mergeCell ref="B126:B146"/>
    <mergeCell ref="B4:B23"/>
    <mergeCell ref="A35:A39"/>
    <mergeCell ref="B35:B39"/>
    <mergeCell ref="A82:A100"/>
    <mergeCell ref="B82:B100"/>
    <mergeCell ref="A42:A44"/>
    <mergeCell ref="B42:B44"/>
    <mergeCell ref="A4:A22"/>
    <mergeCell ref="A26:A29"/>
    <mergeCell ref="B26:B29"/>
    <mergeCell ref="A59:A79"/>
    <mergeCell ref="B59:B79"/>
  </mergeCells>
  <hyperlinks>
    <hyperlink ref="J2" r:id="rId1" xr:uid="{3522EDCE-E515-314C-9FD6-919FB6E739FD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9" r:id="rId4" name="Button 17">
              <controlPr defaultSize="0" print="0" autoFill="0" autoPict="0" macro="[0]!delete_entries">
                <anchor moveWithCells="1" sizeWithCells="1">
                  <from>
                    <xdr:col>7</xdr:col>
                    <xdr:colOff>50800</xdr:colOff>
                    <xdr:row>0</xdr:row>
                    <xdr:rowOff>50800</xdr:rowOff>
                  </from>
                  <to>
                    <xdr:col>8</xdr:col>
                    <xdr:colOff>495300</xdr:colOff>
                    <xdr:row>1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25F6-8209-CA4C-8249-8010795FDA7B}">
  <sheetPr codeName="Sheet2"/>
  <dimension ref="A2:GU22"/>
  <sheetViews>
    <sheetView workbookViewId="0">
      <selection activeCell="A3" sqref="A3:XFD3"/>
    </sheetView>
  </sheetViews>
  <sheetFormatPr baseColWidth="10" defaultRowHeight="15" x14ac:dyDescent="0.2"/>
  <sheetData>
    <row r="2" spans="1:203" s="70" customFormat="1" ht="80" x14ac:dyDescent="0.2">
      <c r="A2" s="70" t="s">
        <v>240</v>
      </c>
      <c r="B2" s="70" t="s">
        <v>241</v>
      </c>
      <c r="C2" s="70" t="s">
        <v>242</v>
      </c>
      <c r="D2" s="70" t="s">
        <v>243</v>
      </c>
      <c r="E2" s="70" t="s">
        <v>244</v>
      </c>
      <c r="F2" s="70" t="s">
        <v>245</v>
      </c>
      <c r="G2" s="70" t="s">
        <v>379</v>
      </c>
      <c r="H2" s="70" t="s">
        <v>246</v>
      </c>
      <c r="I2" s="70" t="s">
        <v>247</v>
      </c>
      <c r="J2" s="70" t="s">
        <v>248</v>
      </c>
      <c r="K2" s="70" t="s">
        <v>249</v>
      </c>
      <c r="L2" s="70" t="s">
        <v>250</v>
      </c>
      <c r="M2" s="70" t="s">
        <v>251</v>
      </c>
      <c r="N2" s="70" t="s">
        <v>252</v>
      </c>
      <c r="O2" s="70" t="s">
        <v>253</v>
      </c>
      <c r="P2" s="70" t="s">
        <v>254</v>
      </c>
      <c r="Q2" s="70" t="s">
        <v>255</v>
      </c>
      <c r="R2" s="70" t="s">
        <v>256</v>
      </c>
      <c r="S2" s="70" t="s">
        <v>257</v>
      </c>
      <c r="T2" s="70" t="s">
        <v>511</v>
      </c>
      <c r="U2" s="70" t="s">
        <v>512</v>
      </c>
      <c r="V2" s="70" t="s">
        <v>258</v>
      </c>
      <c r="W2" s="70" t="s">
        <v>259</v>
      </c>
      <c r="X2" s="70" t="s">
        <v>260</v>
      </c>
      <c r="Y2" s="70" t="s">
        <v>301</v>
      </c>
      <c r="Z2" s="70" t="s">
        <v>261</v>
      </c>
      <c r="AA2" s="70" t="s">
        <v>262</v>
      </c>
      <c r="AB2" s="70" t="s">
        <v>263</v>
      </c>
      <c r="AC2" s="70" t="s">
        <v>302</v>
      </c>
      <c r="AD2" s="70" t="s">
        <v>264</v>
      </c>
      <c r="AE2" s="70" t="s">
        <v>265</v>
      </c>
      <c r="AF2" s="70" t="s">
        <v>266</v>
      </c>
      <c r="AG2" s="70" t="s">
        <v>267</v>
      </c>
      <c r="AH2" s="70" t="s">
        <v>268</v>
      </c>
      <c r="AI2" s="70" t="s">
        <v>269</v>
      </c>
      <c r="AJ2" s="70" t="s">
        <v>270</v>
      </c>
      <c r="AK2" s="70" t="s">
        <v>271</v>
      </c>
      <c r="AL2" s="70" t="s">
        <v>272</v>
      </c>
      <c r="AM2" s="70" t="s">
        <v>305</v>
      </c>
      <c r="AN2" s="70" t="s">
        <v>273</v>
      </c>
      <c r="AO2" s="70" t="s">
        <v>275</v>
      </c>
      <c r="AP2" s="70" t="s">
        <v>276</v>
      </c>
      <c r="AQ2" s="70" t="s">
        <v>415</v>
      </c>
      <c r="AR2" s="70" t="s">
        <v>422</v>
      </c>
      <c r="AS2" s="70" t="s">
        <v>423</v>
      </c>
      <c r="AT2" s="70" t="s">
        <v>423</v>
      </c>
      <c r="AU2" s="70" t="s">
        <v>424</v>
      </c>
      <c r="AV2" s="70" t="s">
        <v>427</v>
      </c>
      <c r="AW2" s="70" t="s">
        <v>426</v>
      </c>
      <c r="AX2" s="70" t="s">
        <v>425</v>
      </c>
      <c r="AY2" s="70" t="s">
        <v>428</v>
      </c>
      <c r="AZ2" s="70" t="s">
        <v>277</v>
      </c>
      <c r="BA2" s="70" t="s">
        <v>429</v>
      </c>
      <c r="BB2" s="70" t="s">
        <v>278</v>
      </c>
      <c r="BC2" s="70" t="s">
        <v>430</v>
      </c>
      <c r="BD2" s="70" t="s">
        <v>432</v>
      </c>
      <c r="BE2" s="70" t="s">
        <v>431</v>
      </c>
      <c r="BF2" s="70" t="s">
        <v>306</v>
      </c>
      <c r="BG2" s="70" t="s">
        <v>279</v>
      </c>
      <c r="BH2" s="70" t="s">
        <v>280</v>
      </c>
      <c r="BI2" s="70" t="s">
        <v>281</v>
      </c>
      <c r="BJ2" s="70" t="s">
        <v>282</v>
      </c>
      <c r="BK2" s="70" t="s">
        <v>283</v>
      </c>
      <c r="BL2" s="70" t="s">
        <v>284</v>
      </c>
      <c r="BM2" s="70" t="s">
        <v>285</v>
      </c>
      <c r="BN2" s="70" t="s">
        <v>286</v>
      </c>
      <c r="BO2" s="70" t="s">
        <v>287</v>
      </c>
      <c r="BP2" s="70" t="s">
        <v>288</v>
      </c>
      <c r="BQ2" s="70" t="s">
        <v>312</v>
      </c>
      <c r="BR2" s="70" t="s">
        <v>289</v>
      </c>
      <c r="BS2" s="70" t="s">
        <v>315</v>
      </c>
      <c r="BT2" s="70" t="s">
        <v>290</v>
      </c>
      <c r="BU2" s="70" t="s">
        <v>291</v>
      </c>
      <c r="BV2" s="70" t="s">
        <v>292</v>
      </c>
      <c r="BW2" s="70" t="s">
        <v>293</v>
      </c>
      <c r="BX2" s="70" t="s">
        <v>316</v>
      </c>
      <c r="BY2" s="70" t="s">
        <v>294</v>
      </c>
      <c r="BZ2" s="70" t="s">
        <v>317</v>
      </c>
      <c r="CA2" s="70" t="s">
        <v>318</v>
      </c>
      <c r="CB2" s="70" t="s">
        <v>319</v>
      </c>
      <c r="CC2" s="70" t="s">
        <v>327</v>
      </c>
      <c r="CD2" s="70" t="s">
        <v>295</v>
      </c>
      <c r="CE2" s="70" t="s">
        <v>320</v>
      </c>
      <c r="CF2" s="70" t="s">
        <v>321</v>
      </c>
      <c r="CG2" s="70" t="s">
        <v>322</v>
      </c>
      <c r="CH2" s="70" t="s">
        <v>328</v>
      </c>
      <c r="CI2" s="70" t="s">
        <v>323</v>
      </c>
      <c r="CJ2" s="70" t="s">
        <v>324</v>
      </c>
      <c r="CK2" s="70" t="s">
        <v>325</v>
      </c>
      <c r="CL2" s="70" t="s">
        <v>326</v>
      </c>
      <c r="CM2" s="70" t="s">
        <v>329</v>
      </c>
      <c r="CN2" s="70" t="s">
        <v>293</v>
      </c>
      <c r="CO2" s="70" t="s">
        <v>316</v>
      </c>
      <c r="CP2" s="70" t="s">
        <v>294</v>
      </c>
      <c r="CQ2" s="70" t="s">
        <v>317</v>
      </c>
      <c r="CR2" s="70" t="s">
        <v>318</v>
      </c>
      <c r="CS2" s="70" t="s">
        <v>319</v>
      </c>
      <c r="CT2" s="70" t="s">
        <v>327</v>
      </c>
      <c r="CU2" s="70" t="s">
        <v>295</v>
      </c>
      <c r="CV2" s="70" t="s">
        <v>320</v>
      </c>
      <c r="CW2" s="70" t="s">
        <v>321</v>
      </c>
      <c r="CX2" s="70" t="s">
        <v>322</v>
      </c>
      <c r="CY2" s="70" t="s">
        <v>515</v>
      </c>
      <c r="CZ2" s="70" t="s">
        <v>516</v>
      </c>
      <c r="DA2" s="70" t="s">
        <v>518</v>
      </c>
      <c r="DB2" s="70" t="s">
        <v>517</v>
      </c>
      <c r="DC2" s="70" t="s">
        <v>519</v>
      </c>
      <c r="DD2" s="70" t="s">
        <v>520</v>
      </c>
      <c r="DE2" s="70" t="s">
        <v>521</v>
      </c>
      <c r="DF2" s="70" t="s">
        <v>522</v>
      </c>
      <c r="DG2" s="70" t="s">
        <v>523</v>
      </c>
      <c r="DH2" s="70" t="s">
        <v>524</v>
      </c>
      <c r="DI2" s="70" t="s">
        <v>525</v>
      </c>
      <c r="DJ2" s="70" t="s">
        <v>526</v>
      </c>
      <c r="DK2" s="70" t="s">
        <v>527</v>
      </c>
      <c r="DL2" s="70" t="s">
        <v>528</v>
      </c>
      <c r="DM2" s="70" t="s">
        <v>529</v>
      </c>
      <c r="DN2" s="70" t="s">
        <v>530</v>
      </c>
      <c r="DO2" s="70" t="s">
        <v>531</v>
      </c>
      <c r="DP2" s="70" t="s">
        <v>532</v>
      </c>
      <c r="DQ2" s="70" t="s">
        <v>533</v>
      </c>
      <c r="DR2" s="70" t="s">
        <v>534</v>
      </c>
      <c r="DS2" s="70" t="s">
        <v>535</v>
      </c>
      <c r="DT2" s="70" t="s">
        <v>536</v>
      </c>
      <c r="DU2" s="70" t="s">
        <v>537</v>
      </c>
      <c r="DV2" s="70" t="s">
        <v>538</v>
      </c>
      <c r="DW2" s="70" t="s">
        <v>539</v>
      </c>
      <c r="DX2" s="70" t="s">
        <v>296</v>
      </c>
      <c r="DY2" s="70" t="s">
        <v>330</v>
      </c>
      <c r="DZ2" s="70" t="s">
        <v>331</v>
      </c>
      <c r="EA2" s="70" t="s">
        <v>332</v>
      </c>
      <c r="EB2" s="70" t="s">
        <v>333</v>
      </c>
      <c r="EC2" s="70" t="s">
        <v>350</v>
      </c>
      <c r="ED2" s="70" t="s">
        <v>371</v>
      </c>
      <c r="EE2" s="70" t="s">
        <v>334</v>
      </c>
      <c r="EF2" s="70" t="s">
        <v>335</v>
      </c>
      <c r="EG2" s="70" t="s">
        <v>336</v>
      </c>
      <c r="EH2" s="70" t="s">
        <v>337</v>
      </c>
      <c r="EI2" s="70" t="s">
        <v>351</v>
      </c>
      <c r="EJ2" s="70" t="s">
        <v>372</v>
      </c>
      <c r="EK2" s="70" t="s">
        <v>338</v>
      </c>
      <c r="EL2" s="70" t="s">
        <v>339</v>
      </c>
      <c r="EM2" s="70" t="s">
        <v>340</v>
      </c>
      <c r="EN2" s="70" t="s">
        <v>341</v>
      </c>
      <c r="EO2" s="70" t="s">
        <v>352</v>
      </c>
      <c r="EP2" s="70" t="s">
        <v>373</v>
      </c>
      <c r="EQ2" s="70" t="s">
        <v>342</v>
      </c>
      <c r="ER2" s="70" t="s">
        <v>353</v>
      </c>
      <c r="ES2" s="70" t="s">
        <v>343</v>
      </c>
      <c r="ET2" s="70" t="s">
        <v>344</v>
      </c>
      <c r="EU2" s="70" t="s">
        <v>354</v>
      </c>
      <c r="EV2" s="70" t="s">
        <v>374</v>
      </c>
      <c r="EW2" s="70" t="s">
        <v>345</v>
      </c>
      <c r="EX2" s="70" t="s">
        <v>355</v>
      </c>
      <c r="EY2" s="70" t="s">
        <v>346</v>
      </c>
      <c r="EZ2" s="70" t="s">
        <v>347</v>
      </c>
      <c r="FA2" s="70" t="s">
        <v>356</v>
      </c>
      <c r="FB2" s="70" t="s">
        <v>375</v>
      </c>
      <c r="FC2" s="70" t="s">
        <v>348</v>
      </c>
      <c r="FD2" s="70" t="s">
        <v>349</v>
      </c>
      <c r="FE2" s="70" t="s">
        <v>469</v>
      </c>
      <c r="FF2" s="70" t="s">
        <v>470</v>
      </c>
      <c r="FG2" s="70" t="s">
        <v>471</v>
      </c>
      <c r="FH2" s="70" t="s">
        <v>472</v>
      </c>
      <c r="FI2" s="70" t="s">
        <v>473</v>
      </c>
      <c r="FJ2" s="70" t="s">
        <v>474</v>
      </c>
      <c r="FK2" s="70" t="s">
        <v>475</v>
      </c>
      <c r="FL2" s="70" t="s">
        <v>476</v>
      </c>
      <c r="FM2" s="70" t="s">
        <v>477</v>
      </c>
      <c r="FN2" s="70" t="s">
        <v>478</v>
      </c>
      <c r="FO2" s="70" t="s">
        <v>479</v>
      </c>
      <c r="FP2" s="70" t="s">
        <v>480</v>
      </c>
      <c r="FQ2" s="70" t="s">
        <v>481</v>
      </c>
      <c r="FR2" s="70" t="s">
        <v>482</v>
      </c>
      <c r="FS2" s="70" t="s">
        <v>483</v>
      </c>
      <c r="FT2" s="70" t="s">
        <v>484</v>
      </c>
      <c r="FU2" s="70" t="s">
        <v>485</v>
      </c>
      <c r="FV2" s="70" t="s">
        <v>486</v>
      </c>
      <c r="FW2" s="70" t="s">
        <v>487</v>
      </c>
      <c r="FX2" s="70" t="s">
        <v>488</v>
      </c>
      <c r="FY2" s="70" t="s">
        <v>489</v>
      </c>
      <c r="FZ2" s="70" t="s">
        <v>490</v>
      </c>
      <c r="GA2" s="70" t="s">
        <v>491</v>
      </c>
      <c r="GB2" s="70" t="s">
        <v>492</v>
      </c>
      <c r="GC2" s="70" t="s">
        <v>493</v>
      </c>
      <c r="GD2" s="70" t="s">
        <v>494</v>
      </c>
      <c r="GE2" s="70" t="s">
        <v>495</v>
      </c>
      <c r="GF2" s="70" t="s">
        <v>496</v>
      </c>
      <c r="GG2" s="70" t="s">
        <v>497</v>
      </c>
      <c r="GH2" s="70" t="s">
        <v>498</v>
      </c>
      <c r="GI2" s="70" t="s">
        <v>499</v>
      </c>
      <c r="GJ2" s="70" t="s">
        <v>500</v>
      </c>
      <c r="GK2" s="70" t="s">
        <v>501</v>
      </c>
      <c r="GL2" s="70" t="s">
        <v>297</v>
      </c>
      <c r="GM2" s="70" t="s">
        <v>357</v>
      </c>
      <c r="GN2" s="70" t="s">
        <v>358</v>
      </c>
      <c r="GO2" s="70" t="s">
        <v>359</v>
      </c>
      <c r="GP2" s="70" t="s">
        <v>360</v>
      </c>
      <c r="GQ2" s="70" t="s">
        <v>298</v>
      </c>
      <c r="GR2" s="70" t="s">
        <v>362</v>
      </c>
      <c r="GS2" s="70" t="s">
        <v>361</v>
      </c>
      <c r="GT2" s="70" t="s">
        <v>299</v>
      </c>
      <c r="GU2" s="70" t="s">
        <v>300</v>
      </c>
    </row>
    <row r="3" spans="1:203" x14ac:dyDescent="0.2">
      <c r="A3" t="str">
        <f>'Code_book_v3.3'!B1</f>
        <v>lungns_001</v>
      </c>
      <c r="B3" t="str">
        <f>'Code_book_v3.3'!E1</f>
        <v>NA</v>
      </c>
      <c r="C3" t="str">
        <f>'Code_book_v3.3'!E4</f>
        <v>YES</v>
      </c>
      <c r="D3" t="str">
        <f>'Code_book_v3.3'!K4</f>
        <v>YES</v>
      </c>
      <c r="E3" t="str">
        <f>'Code_book_v3.3'!N4</f>
        <v>YES</v>
      </c>
      <c r="F3" t="str">
        <f>'Code_book_v3.3'!K5</f>
        <v>YES</v>
      </c>
      <c r="G3" t="str">
        <f>'Code_book_v3.3'!K6</f>
        <v>YES</v>
      </c>
      <c r="H3" t="str">
        <f>'Code_book_v3.3'!N5</f>
        <v>NO</v>
      </c>
      <c r="I3">
        <f>'Code_book_v3.3'!Q5</f>
        <v>0</v>
      </c>
      <c r="J3" t="str">
        <f>'Code_book_v3.3'!H7</f>
        <v>YES</v>
      </c>
      <c r="K3" t="str">
        <f>'Code_book_v3.3'!H8</f>
        <v>YES</v>
      </c>
      <c r="L3" t="str">
        <f>'Code_book_v3.3'!K8</f>
        <v>YES</v>
      </c>
      <c r="M3" t="str">
        <f>'Code_book_v3.3'!H9</f>
        <v>YES</v>
      </c>
      <c r="N3" t="str">
        <f>'Code_book_v3.3'!K9</f>
        <v>YES</v>
      </c>
      <c r="O3" t="str">
        <f>'Code_book_v3.3'!K10</f>
        <v>NO</v>
      </c>
      <c r="P3" t="str">
        <f>'Code_book_v3.3'!K11</f>
        <v>NO</v>
      </c>
      <c r="Q3" t="str">
        <f>'Code_book_v3.3'!K12</f>
        <v>NO</v>
      </c>
      <c r="R3" t="str">
        <f>'Code_book_v3.3'!K13</f>
        <v>NO</v>
      </c>
      <c r="S3">
        <f>'Code_book_v3.3'!N13</f>
        <v>0</v>
      </c>
      <c r="T3" t="str">
        <f>'Code_book_v3.3'!K14</f>
        <v>NO</v>
      </c>
      <c r="U3">
        <f>'Code_book_v3.3'!N14</f>
        <v>0</v>
      </c>
      <c r="V3" t="str">
        <f>'Code_book_v3.3'!H15</f>
        <v>YES</v>
      </c>
      <c r="W3" t="str">
        <f>'Code_book_v3.3'!K15</f>
        <v>YES</v>
      </c>
      <c r="X3" t="str">
        <f>'Code_book_v3.3'!N15</f>
        <v>YES</v>
      </c>
      <c r="Y3" t="str">
        <f>'Code_book_v3.3'!Q15</f>
        <v>YES</v>
      </c>
      <c r="Z3" t="str">
        <f>'Code_book_v3.3'!T15</f>
        <v>YES</v>
      </c>
      <c r="AA3" t="str">
        <f>'Code_book_v3.3'!T16</f>
        <v>NO</v>
      </c>
      <c r="AB3" t="str">
        <f>'Code_book_v3.3'!T17</f>
        <v>NO</v>
      </c>
      <c r="AC3" t="str">
        <f>'Code_book_v3.3'!Q18</f>
        <v>NO</v>
      </c>
      <c r="AD3" t="str">
        <f>'Code_book_v3.3'!T18</f>
        <v>NO</v>
      </c>
      <c r="AE3" t="str">
        <f>'Code_book_v3.3'!T19</f>
        <v>NO</v>
      </c>
      <c r="AF3">
        <f>'Code_book_v3.3'!N20</f>
        <v>0</v>
      </c>
      <c r="AG3">
        <f>'Code_book_v3.3'!Q20</f>
        <v>0</v>
      </c>
      <c r="AH3" t="str">
        <f>'Code_book_v3.3'!K21</f>
        <v>NO</v>
      </c>
      <c r="AI3" t="str">
        <f>'Code_book_v3.3'!N21</f>
        <v>NO</v>
      </c>
      <c r="AJ3">
        <f>'Code_book_v3.3'!Q21</f>
        <v>0</v>
      </c>
      <c r="AK3" t="str">
        <f>'Code_book_v3.3'!N22</f>
        <v>NO</v>
      </c>
      <c r="AL3">
        <f>'Code_book_v3.3'!Q22</f>
        <v>0</v>
      </c>
      <c r="AM3" t="str">
        <f>'Code_book_v3.3'!H23</f>
        <v>YES</v>
      </c>
      <c r="AN3">
        <f>'Code_book_v3.3'!K23</f>
        <v>0</v>
      </c>
      <c r="AO3" t="str">
        <f>'Code_book_v3.3'!E26</f>
        <v>NO</v>
      </c>
      <c r="AP3" t="str">
        <f>'Code_book_v3.3'!H26</f>
        <v>NO</v>
      </c>
      <c r="AQ3" t="str">
        <f>'Code_book_v3.3'!H27</f>
        <v>NO</v>
      </c>
      <c r="AR3" t="str">
        <f>'Code_book_v3.3'!H28</f>
        <v>NO</v>
      </c>
      <c r="AS3" t="str">
        <f>'Code_book_v3.3'!H29</f>
        <v>NO</v>
      </c>
      <c r="AT3" t="str">
        <f>'Code_book_v3.3'!H29</f>
        <v>NO</v>
      </c>
      <c r="AU3" t="str">
        <f>'Code_book_v3.3'!H30</f>
        <v>NO</v>
      </c>
      <c r="AV3" t="str">
        <f>'Code_book_v3.3'!H31</f>
        <v>NO</v>
      </c>
      <c r="AW3">
        <f>'Code_book_v3.3'!K31</f>
        <v>0</v>
      </c>
      <c r="AX3" t="str">
        <f>'Code_book_v3.3'!H32</f>
        <v>NO</v>
      </c>
      <c r="AY3">
        <f>'Code_book_v3.3'!K32</f>
        <v>0</v>
      </c>
      <c r="AZ3" t="str">
        <f>'Code_book_v3.3'!E35</f>
        <v>NO</v>
      </c>
      <c r="BA3" t="str">
        <f>'Code_book_v3.3'!H35</f>
        <v>NO</v>
      </c>
      <c r="BB3" t="str">
        <f>'Code_book_v3.3'!H36</f>
        <v>NO</v>
      </c>
      <c r="BC3" t="str">
        <f>'Code_book_v3.3'!H37</f>
        <v>NO</v>
      </c>
      <c r="BD3">
        <f>'Code_book_v3.3'!K37</f>
        <v>0</v>
      </c>
      <c r="BE3" t="str">
        <f>'Code_book_v3.3'!H39</f>
        <v>NO</v>
      </c>
      <c r="BF3" t="str">
        <f>'Code_book_v3.3'!H39</f>
        <v>NO</v>
      </c>
      <c r="BG3">
        <f>'Code_book_v3.3'!K39</f>
        <v>0</v>
      </c>
      <c r="BH3" t="str">
        <f>'Code_book_v3.3'!E42</f>
        <v>NO</v>
      </c>
      <c r="BI3" t="str">
        <f>'Code_book_v3.3'!H42</f>
        <v>NO</v>
      </c>
      <c r="BJ3" t="str">
        <f>'Code_book_v3.3'!H43</f>
        <v>NO</v>
      </c>
      <c r="BK3" t="str">
        <f>'Code_book_v3.3'!H44</f>
        <v>NO</v>
      </c>
      <c r="BL3">
        <f>'Code_book_v3.3'!K44</f>
        <v>0</v>
      </c>
      <c r="BM3" t="str">
        <f>'Code_book_v3.3'!E47</f>
        <v>NO</v>
      </c>
      <c r="BN3">
        <f>'Code_book_v3.3'!H47</f>
        <v>0</v>
      </c>
      <c r="BO3" t="str">
        <f>'Code_book_v3.3'!E50</f>
        <v>NO</v>
      </c>
      <c r="BP3" t="str">
        <f>'Code_book_v3.3'!H50</f>
        <v>NO</v>
      </c>
      <c r="BQ3" t="str">
        <f>'Code_book_v3.3'!H51</f>
        <v>NO</v>
      </c>
      <c r="BR3" t="str">
        <f>'Code_book_v3.3'!H52</f>
        <v>NO</v>
      </c>
      <c r="BS3" t="str">
        <f>'Code_book_v3.3'!H53</f>
        <v>NO</v>
      </c>
      <c r="BT3" t="str">
        <f>'Code_book_v3.3'!H54</f>
        <v>NO</v>
      </c>
      <c r="BU3" t="str">
        <f>'Code_book_v3.3'!H55</f>
        <v>NO</v>
      </c>
      <c r="BV3">
        <f>'Code_book_v3.3'!K55</f>
        <v>0</v>
      </c>
      <c r="BW3" t="str">
        <f>'Code_book_v3.3'!E59</f>
        <v>NO</v>
      </c>
      <c r="BX3" t="str">
        <f>'Code_book_v3.3'!H59</f>
        <v>NO</v>
      </c>
      <c r="BY3" t="str">
        <f>'Code_book_v3.3'!K59</f>
        <v>NO</v>
      </c>
      <c r="BZ3" t="str">
        <f>'Code_book_v3.3'!K60</f>
        <v>NO</v>
      </c>
      <c r="CA3" t="str">
        <f>'Code_book_v3.3'!K61</f>
        <v>NO</v>
      </c>
      <c r="CB3" t="str">
        <f>'Code_book_v3.3'!K62</f>
        <v>NO</v>
      </c>
      <c r="CC3" t="str">
        <f>'Code_book_v3.3'!H63</f>
        <v>NO</v>
      </c>
      <c r="CD3" t="str">
        <f>'Code_book_v3.3'!K63</f>
        <v>NO</v>
      </c>
      <c r="CE3" t="str">
        <f>'Code_book_v3.3'!K64</f>
        <v>NO</v>
      </c>
      <c r="CF3" t="str">
        <f>'Code_book_v3.3'!K65</f>
        <v>NO</v>
      </c>
      <c r="CG3" t="str">
        <f>'Code_book_v3.3'!K66</f>
        <v>NO</v>
      </c>
      <c r="CH3" t="str">
        <f>'Code_book_v3.3'!H67</f>
        <v>NO</v>
      </c>
      <c r="CI3" t="str">
        <f>'Code_book_v3.3'!K67</f>
        <v>NO</v>
      </c>
      <c r="CJ3" t="str">
        <f>'Code_book_v3.3'!K68</f>
        <v>NO</v>
      </c>
      <c r="CK3" t="str">
        <f>'Code_book_v3.3'!K69</f>
        <v>NO</v>
      </c>
      <c r="CL3" t="str">
        <f>'Code_book_v3.3'!K70</f>
        <v>NO</v>
      </c>
      <c r="CM3" t="str">
        <f>'Code_book_v3.3'!H71</f>
        <v>NO</v>
      </c>
      <c r="CN3">
        <f>'Code_book_v3.3'!V59</f>
        <v>0</v>
      </c>
      <c r="CO3">
        <f>'Code_book_v3.3'!Y59</f>
        <v>0</v>
      </c>
      <c r="CP3">
        <f>'Code_book_v3.3'!AB59</f>
        <v>0</v>
      </c>
      <c r="CQ3">
        <f>'Code_book_v3.3'!AB60</f>
        <v>0</v>
      </c>
      <c r="CR3">
        <f>'Code_book_v3.3'!AB61</f>
        <v>0</v>
      </c>
      <c r="CS3">
        <f>'Code_book_v3.3'!AB62</f>
        <v>0</v>
      </c>
      <c r="CT3">
        <f>'Code_book_v3.3'!Y63</f>
        <v>0</v>
      </c>
      <c r="CU3">
        <f>'Code_book_v3.3'!AB63</f>
        <v>0</v>
      </c>
      <c r="CV3">
        <f>'Code_book_v3.3'!AB64</f>
        <v>0</v>
      </c>
      <c r="CW3">
        <f>'Code_book_v3.3'!AB65</f>
        <v>0</v>
      </c>
      <c r="CX3">
        <f>'Code_book_v3.3'!AB66</f>
        <v>0</v>
      </c>
      <c r="CY3" t="str">
        <f>'Code_book_v3.3'!E82</f>
        <v>NO</v>
      </c>
      <c r="CZ3" t="str">
        <f>'Code_book_v3.3'!H82</f>
        <v>NO</v>
      </c>
      <c r="DA3" t="str">
        <f>'Code_book_v3.3'!K82</f>
        <v>NO</v>
      </c>
      <c r="DB3" t="str">
        <f>'Code_book_v3.3'!K83</f>
        <v>NO</v>
      </c>
      <c r="DC3" t="str">
        <f>'Code_book_v3.3'!K84</f>
        <v>NO</v>
      </c>
      <c r="DD3" t="str">
        <f>'Code_book_v3.3'!K85</f>
        <v>NO</v>
      </c>
      <c r="DE3" t="str">
        <f>'Code_book_v3.3'!H86</f>
        <v>NO</v>
      </c>
      <c r="DF3" t="str">
        <f>'Code_book_v3.3'!K86</f>
        <v>NO</v>
      </c>
      <c r="DG3" t="str">
        <f>'Code_book_v3.3'!K88</f>
        <v>NO</v>
      </c>
      <c r="DH3" t="str">
        <f>'Code_book_v3.3'!K89</f>
        <v>NO</v>
      </c>
      <c r="DI3" t="str">
        <f>'Code_book_v3.3'!H90</f>
        <v>NO</v>
      </c>
      <c r="DJ3" t="str">
        <f>'Code_book_v3.3'!K90</f>
        <v>NO</v>
      </c>
      <c r="DK3" t="str">
        <f>'Code_book_v3.3'!K91</f>
        <v>NO</v>
      </c>
      <c r="DL3" t="str">
        <f>'Code_book_v3.3'!K92</f>
        <v>NO</v>
      </c>
      <c r="DM3" t="str">
        <f>'Code_book_v3.3'!H93</f>
        <v>NO</v>
      </c>
      <c r="DN3" t="str">
        <f>'Code_book_v3.3'!K93</f>
        <v>NO</v>
      </c>
      <c r="DO3" t="str">
        <f>'Code_book_v3.3'!K94</f>
        <v>NO</v>
      </c>
      <c r="DP3" t="str">
        <f>'Code_book_v3.3'!K95</f>
        <v>NO</v>
      </c>
      <c r="DQ3" t="str">
        <f>'Code_book_v3.3'!H96</f>
        <v>NO</v>
      </c>
      <c r="DR3" t="str">
        <f>'Code_book_v3.3'!K96</f>
        <v>NO</v>
      </c>
      <c r="DS3" t="str">
        <f>'Code_book_v3.3'!K97</f>
        <v>NO</v>
      </c>
      <c r="DT3" t="str">
        <f>'Code_book_v3.3'!K98</f>
        <v>NO</v>
      </c>
      <c r="DU3" t="str">
        <f>'Code_book_v3.3'!K99</f>
        <v>NO</v>
      </c>
      <c r="DV3" t="str">
        <f>'Code_book_v3.3'!H100</f>
        <v>NO</v>
      </c>
      <c r="DW3">
        <f>'Code_book_v3.3'!K100</f>
        <v>0</v>
      </c>
      <c r="DX3" t="str">
        <f>'Code_book_v3.3'!E103</f>
        <v>NO</v>
      </c>
      <c r="DY3" t="str">
        <f>'Code_book_v3.3'!H103</f>
        <v>NO</v>
      </c>
      <c r="DZ3" t="str">
        <f>'Code_book_v3.3'!K103</f>
        <v>NO</v>
      </c>
      <c r="EA3" t="str">
        <f>'Code_book_v3.3'!K104</f>
        <v>NO</v>
      </c>
      <c r="EB3" t="str">
        <f>'Code_book_v3.3'!K105</f>
        <v>NO</v>
      </c>
      <c r="EC3" t="str">
        <f>'Code_book_v3.3'!K106</f>
        <v>NO</v>
      </c>
      <c r="ED3">
        <f>'Code_book_v3.3'!N103</f>
        <v>0</v>
      </c>
      <c r="EE3" t="str">
        <f>'Code_book_v3.3'!H107</f>
        <v>NO</v>
      </c>
      <c r="EF3" t="str">
        <f>'Code_book_v3.3'!K107</f>
        <v>NO</v>
      </c>
      <c r="EG3" t="str">
        <f>'Code_book_v3.3'!K108</f>
        <v>NO</v>
      </c>
      <c r="EH3" t="str">
        <f>'Code_book_v3.3'!K109</f>
        <v>NO</v>
      </c>
      <c r="EI3" t="str">
        <f>'Code_book_v3.3'!K110</f>
        <v>NO</v>
      </c>
      <c r="EJ3">
        <f>'Code_book_v3.3'!N107</f>
        <v>0</v>
      </c>
      <c r="EK3" t="str">
        <f>'Code_book_v3.3'!H111</f>
        <v>NO</v>
      </c>
      <c r="EL3" t="str">
        <f>'Code_book_v3.3'!K111</f>
        <v>NO</v>
      </c>
      <c r="EM3" t="str">
        <f>'Code_book_v3.3'!K111</f>
        <v>NO</v>
      </c>
      <c r="EN3" t="str">
        <f>'Code_book_v3.3'!K112</f>
        <v>NO</v>
      </c>
      <c r="EO3" t="str">
        <f>'Code_book_v3.3'!K114</f>
        <v>NO</v>
      </c>
      <c r="EP3">
        <f>'Code_book_v3.3'!N111</f>
        <v>0</v>
      </c>
      <c r="EQ3" t="str">
        <f>'Code_book_v3.3'!H115</f>
        <v>NO</v>
      </c>
      <c r="ER3" t="str">
        <f>'Code_book_v3.3'!K115</f>
        <v>NO</v>
      </c>
      <c r="ES3" t="str">
        <f>'Code_book_v3.3'!K116</f>
        <v>NO</v>
      </c>
      <c r="ET3" t="str">
        <f>'Code_book_v3.3'!K117</f>
        <v>NO</v>
      </c>
      <c r="EU3" t="str">
        <f>'Code_book_v3.3'!K118</f>
        <v>NO</v>
      </c>
      <c r="EV3">
        <f>'Code_book_v3.3'!N115</f>
        <v>0</v>
      </c>
      <c r="EW3" t="str">
        <f>'Code_book_v3.3'!H119</f>
        <v>NO</v>
      </c>
      <c r="EX3" t="str">
        <f>'Code_book_v3.3'!K119</f>
        <v>NO</v>
      </c>
      <c r="EY3" t="str">
        <f>'Code_book_v3.3'!K120</f>
        <v>NO</v>
      </c>
      <c r="EZ3" t="str">
        <f>'Code_book_v3.3'!K121</f>
        <v>NO</v>
      </c>
      <c r="FA3" t="str">
        <f>'Code_book_v3.3'!K122</f>
        <v>NO</v>
      </c>
      <c r="FB3">
        <f>'Code_book_v3.3'!N119</f>
        <v>0</v>
      </c>
      <c r="FC3" t="str">
        <f>'Code_book_v3.3'!H123</f>
        <v>NO</v>
      </c>
      <c r="FD3">
        <f>'Code_book_v3.3'!K123</f>
        <v>0</v>
      </c>
      <c r="FE3" t="str">
        <f>'Code_book_v3.3'!E126</f>
        <v>NO</v>
      </c>
      <c r="FF3" t="str">
        <f>'Code_book_v3.3'!H126</f>
        <v>NO</v>
      </c>
      <c r="FG3" t="str">
        <f>'Code_book_v3.3'!K126</f>
        <v>NO</v>
      </c>
      <c r="FH3" t="str">
        <f>'Code_book_v3.3'!K127</f>
        <v>NO</v>
      </c>
      <c r="FI3" t="str">
        <f>'Code_book_v3.3'!K128</f>
        <v>NO</v>
      </c>
      <c r="FJ3" t="str">
        <f>'Code_book_v3.3'!K129</f>
        <v>NO</v>
      </c>
      <c r="FK3">
        <f>'Code_book_v3.3'!N126</f>
        <v>0</v>
      </c>
      <c r="FL3" t="str">
        <f>'Code_book_v3.3'!H130</f>
        <v>NO</v>
      </c>
      <c r="FM3" t="str">
        <f>'Code_book_v3.3'!K130</f>
        <v>NO</v>
      </c>
      <c r="FN3" t="str">
        <f>'Code_book_v3.3'!K131</f>
        <v>NO</v>
      </c>
      <c r="FO3" t="str">
        <f>'Code_book_v3.3'!K132</f>
        <v>NO</v>
      </c>
      <c r="FP3" t="str">
        <f>'Code_book_v3.3'!K133</f>
        <v>NO</v>
      </c>
      <c r="FQ3">
        <f>'Code_book_v3.3'!N130</f>
        <v>0</v>
      </c>
      <c r="FR3" t="str">
        <f>'Code_book_v3.3'!H134</f>
        <v>NO</v>
      </c>
      <c r="FS3" t="str">
        <f>'Code_book_v3.3'!K134</f>
        <v>NO</v>
      </c>
      <c r="FT3" t="str">
        <f>'Code_book_v3.3'!K135</f>
        <v>NO</v>
      </c>
      <c r="FU3" t="str">
        <f>'Code_book_v3.3'!K136</f>
        <v>NO</v>
      </c>
      <c r="FV3" t="str">
        <f>'Code_book_v3.3'!K137</f>
        <v>NO</v>
      </c>
      <c r="FW3">
        <f>'Code_book_v3.3'!N134</f>
        <v>0</v>
      </c>
      <c r="FX3" t="str">
        <f>'Code_book_v3.3'!H138</f>
        <v>NO</v>
      </c>
      <c r="FY3" t="str">
        <f>'Code_book_v3.3'!K138</f>
        <v>NO</v>
      </c>
      <c r="FZ3" t="str">
        <f>'Code_book_v3.3'!K139</f>
        <v>NO</v>
      </c>
      <c r="GA3" t="str">
        <f>'Code_book_v3.3'!K140</f>
        <v>NO</v>
      </c>
      <c r="GB3" t="str">
        <f>'Code_book_v3.3'!K141</f>
        <v>NO</v>
      </c>
      <c r="GC3">
        <f>'Code_book_v3.3'!N138</f>
        <v>0</v>
      </c>
      <c r="GD3" t="str">
        <f>'Code_book_v3.3'!H142</f>
        <v>NO</v>
      </c>
      <c r="GE3" t="str">
        <f>'Code_book_v3.3'!K142</f>
        <v>NO</v>
      </c>
      <c r="GF3" t="str">
        <f>'Code_book_v3.3'!K143</f>
        <v>NO</v>
      </c>
      <c r="GG3" t="str">
        <f>'Code_book_v3.3'!K144</f>
        <v>NO</v>
      </c>
      <c r="GH3" t="str">
        <f>'Code_book_v3.3'!K145</f>
        <v>NO</v>
      </c>
      <c r="GI3">
        <f>'Code_book_v3.3'!N142</f>
        <v>0</v>
      </c>
      <c r="GJ3" t="str">
        <f>'Code_book_v3.3'!H146</f>
        <v>NO</v>
      </c>
      <c r="GK3">
        <f>'Code_book_v3.3'!K146</f>
        <v>0</v>
      </c>
      <c r="GL3" t="str">
        <f>'Code_book_v3.3'!E149</f>
        <v>NO</v>
      </c>
      <c r="GM3" t="str">
        <f>'Code_book_v3.3'!H149</f>
        <v>NO</v>
      </c>
      <c r="GN3" t="str">
        <f>'Code_book_v3.3'!H150</f>
        <v>NO</v>
      </c>
      <c r="GO3" t="str">
        <f>'Code_book_v3.3'!H151</f>
        <v>NO</v>
      </c>
      <c r="GP3" t="str">
        <f>'Code_book_v3.3'!H152</f>
        <v>NO</v>
      </c>
      <c r="GQ3" t="str">
        <f>'Code_book_v3.3'!H153</f>
        <v>NO</v>
      </c>
      <c r="GR3" t="str">
        <f>'Code_book_v3.3'!H154</f>
        <v>NO</v>
      </c>
      <c r="GS3">
        <f>'Code_book_v3.3'!K154</f>
        <v>0</v>
      </c>
      <c r="GT3" t="str">
        <f>'Code_book_v3.3'!E157</f>
        <v>NO</v>
      </c>
      <c r="GU3">
        <f>'Code_book_v3.3'!H157</f>
        <v>0</v>
      </c>
    </row>
    <row r="8" spans="1:203" x14ac:dyDescent="0.2">
      <c r="A8" s="212" t="s">
        <v>363</v>
      </c>
      <c r="B8" s="213"/>
      <c r="C8" s="213"/>
      <c r="D8" s="213"/>
      <c r="E8" s="213"/>
      <c r="F8" s="213"/>
      <c r="G8" s="213"/>
      <c r="H8" s="213"/>
    </row>
    <row r="9" spans="1:203" x14ac:dyDescent="0.2">
      <c r="A9" s="213"/>
      <c r="B9" s="213"/>
      <c r="C9" s="213"/>
      <c r="D9" s="213"/>
      <c r="E9" s="213"/>
      <c r="F9" s="213"/>
      <c r="G9" s="213"/>
      <c r="H9" s="213"/>
    </row>
    <row r="10" spans="1:203" x14ac:dyDescent="0.2">
      <c r="A10" s="213"/>
      <c r="B10" s="213"/>
      <c r="C10" s="213"/>
      <c r="D10" s="213"/>
      <c r="E10" s="213"/>
      <c r="F10" s="213"/>
      <c r="G10" s="213"/>
      <c r="H10" s="213"/>
    </row>
    <row r="11" spans="1:203" x14ac:dyDescent="0.2">
      <c r="A11" s="213"/>
      <c r="B11" s="213"/>
      <c r="C11" s="213"/>
      <c r="D11" s="213"/>
      <c r="E11" s="213"/>
      <c r="F11" s="213"/>
      <c r="G11" s="213"/>
      <c r="H11" s="213"/>
    </row>
    <row r="12" spans="1:203" x14ac:dyDescent="0.2">
      <c r="A12" s="213"/>
      <c r="B12" s="213"/>
      <c r="C12" s="213"/>
      <c r="D12" s="213"/>
      <c r="E12" s="213"/>
      <c r="F12" s="213"/>
      <c r="G12" s="213"/>
      <c r="H12" s="213"/>
    </row>
    <row r="13" spans="1:203" x14ac:dyDescent="0.2">
      <c r="A13" s="213"/>
      <c r="B13" s="213"/>
      <c r="C13" s="213"/>
      <c r="D13" s="213"/>
      <c r="E13" s="213"/>
      <c r="F13" s="213"/>
      <c r="G13" s="213"/>
      <c r="H13" s="213"/>
    </row>
    <row r="14" spans="1:203" x14ac:dyDescent="0.2">
      <c r="A14" s="213"/>
      <c r="B14" s="213"/>
      <c r="C14" s="213"/>
      <c r="D14" s="213"/>
      <c r="E14" s="213"/>
      <c r="F14" s="213"/>
      <c r="G14" s="213"/>
      <c r="H14" s="213"/>
    </row>
    <row r="15" spans="1:203" x14ac:dyDescent="0.2">
      <c r="A15" s="213"/>
      <c r="B15" s="213"/>
      <c r="C15" s="213"/>
      <c r="D15" s="213"/>
      <c r="E15" s="213"/>
      <c r="F15" s="213"/>
      <c r="G15" s="213"/>
      <c r="H15" s="213"/>
    </row>
    <row r="16" spans="1:203" x14ac:dyDescent="0.2">
      <c r="A16" s="213"/>
      <c r="B16" s="213"/>
      <c r="C16" s="213"/>
      <c r="D16" s="213"/>
      <c r="E16" s="213"/>
      <c r="F16" s="213"/>
      <c r="G16" s="213"/>
      <c r="H16" s="213"/>
    </row>
    <row r="17" spans="1:8" x14ac:dyDescent="0.2">
      <c r="A17" s="213"/>
      <c r="B17" s="213"/>
      <c r="C17" s="213"/>
      <c r="D17" s="213"/>
      <c r="E17" s="213"/>
      <c r="F17" s="213"/>
      <c r="G17" s="213"/>
      <c r="H17" s="213"/>
    </row>
    <row r="18" spans="1:8" x14ac:dyDescent="0.2">
      <c r="A18" s="213"/>
      <c r="B18" s="213"/>
      <c r="C18" s="213"/>
      <c r="D18" s="213"/>
      <c r="E18" s="213"/>
      <c r="F18" s="213"/>
      <c r="G18" s="213"/>
      <c r="H18" s="213"/>
    </row>
    <row r="19" spans="1:8" x14ac:dyDescent="0.2">
      <c r="A19" s="213"/>
      <c r="B19" s="213"/>
      <c r="C19" s="213"/>
      <c r="D19" s="213"/>
      <c r="E19" s="213"/>
      <c r="F19" s="213"/>
      <c r="G19" s="213"/>
      <c r="H19" s="213"/>
    </row>
    <row r="20" spans="1:8" x14ac:dyDescent="0.2">
      <c r="A20" s="213"/>
      <c r="B20" s="213"/>
      <c r="C20" s="213"/>
      <c r="D20" s="213"/>
      <c r="E20" s="213"/>
      <c r="F20" s="213"/>
      <c r="G20" s="213"/>
      <c r="H20" s="213"/>
    </row>
    <row r="21" spans="1:8" x14ac:dyDescent="0.2">
      <c r="A21" s="213"/>
      <c r="B21" s="213"/>
      <c r="C21" s="213"/>
      <c r="D21" s="213"/>
      <c r="E21" s="213"/>
      <c r="F21" s="213"/>
      <c r="G21" s="213"/>
      <c r="H21" s="213"/>
    </row>
    <row r="22" spans="1:8" x14ac:dyDescent="0.2">
      <c r="A22" s="213"/>
      <c r="B22" s="213"/>
      <c r="C22" s="213"/>
      <c r="D22" s="213"/>
      <c r="E22" s="213"/>
      <c r="F22" s="213"/>
      <c r="G22" s="213"/>
      <c r="H22" s="213"/>
    </row>
  </sheetData>
  <sheetProtection algorithmName="SHA-512" hashValue="KDnac6Ns6EbaVNfDuiRY0Z7tCV8gcntXVeKuObcjKhbJVQxW92zqcHH3mCUsHqnyBQPKTON9b8/MnHBMzBitGg==" saltValue="vIRDMJGEgxH1y8H3IMqSyw==" spinCount="100000" sheet="1" objects="1" scenarios="1"/>
  <mergeCells count="1">
    <mergeCell ref="A8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F4DA-0721-9F47-BE07-5548EA4518E8}">
  <dimension ref="A2:GJ30"/>
  <sheetViews>
    <sheetView workbookViewId="0">
      <pane xSplit="1" ySplit="2" topLeftCell="AH3" activePane="bottomRight" state="frozen"/>
      <selection pane="topRight" activeCell="B1" sqref="B1"/>
      <selection pane="bottomLeft" activeCell="A2" sqref="A2"/>
      <selection pane="bottomRight" activeCell="L36" sqref="L36"/>
    </sheetView>
  </sheetViews>
  <sheetFormatPr baseColWidth="10" defaultRowHeight="15" x14ac:dyDescent="0.2"/>
  <cols>
    <col min="1" max="16384" width="10.83203125" style="215"/>
  </cols>
  <sheetData>
    <row r="2" spans="1:192" s="214" customFormat="1" ht="80" x14ac:dyDescent="0.2">
      <c r="A2" s="214" t="s">
        <v>240</v>
      </c>
      <c r="B2" s="214" t="s">
        <v>241</v>
      </c>
      <c r="C2" s="214" t="s">
        <v>242</v>
      </c>
      <c r="D2" s="214" t="s">
        <v>243</v>
      </c>
      <c r="E2" s="214" t="s">
        <v>244</v>
      </c>
      <c r="F2" s="214" t="s">
        <v>245</v>
      </c>
      <c r="G2" s="214" t="s">
        <v>379</v>
      </c>
      <c r="H2" s="214" t="s">
        <v>246</v>
      </c>
      <c r="I2" s="214" t="s">
        <v>247</v>
      </c>
      <c r="J2" s="214" t="s">
        <v>248</v>
      </c>
      <c r="K2" s="214" t="s">
        <v>249</v>
      </c>
      <c r="L2" s="214" t="s">
        <v>250</v>
      </c>
      <c r="M2" s="214" t="s">
        <v>251</v>
      </c>
      <c r="N2" s="214" t="s">
        <v>252</v>
      </c>
      <c r="O2" s="214" t="s">
        <v>253</v>
      </c>
      <c r="P2" s="214" t="s">
        <v>254</v>
      </c>
      <c r="Q2" s="214" t="s">
        <v>255</v>
      </c>
      <c r="R2" s="214" t="s">
        <v>256</v>
      </c>
      <c r="S2" s="214" t="s">
        <v>257</v>
      </c>
      <c r="T2" s="214" t="s">
        <v>511</v>
      </c>
      <c r="U2" s="214" t="s">
        <v>512</v>
      </c>
      <c r="V2" s="214" t="s">
        <v>258</v>
      </c>
      <c r="W2" s="214" t="s">
        <v>259</v>
      </c>
      <c r="X2" s="214" t="s">
        <v>260</v>
      </c>
      <c r="Y2" s="214" t="s">
        <v>301</v>
      </c>
      <c r="Z2" s="214" t="s">
        <v>261</v>
      </c>
      <c r="AA2" s="214" t="s">
        <v>262</v>
      </c>
      <c r="AB2" s="214" t="s">
        <v>263</v>
      </c>
      <c r="AC2" s="214" t="s">
        <v>302</v>
      </c>
      <c r="AD2" s="214" t="s">
        <v>264</v>
      </c>
      <c r="AE2" s="214" t="s">
        <v>265</v>
      </c>
      <c r="AF2" s="214" t="s">
        <v>266</v>
      </c>
      <c r="AG2" s="214" t="s">
        <v>267</v>
      </c>
      <c r="AH2" s="214" t="s">
        <v>268</v>
      </c>
      <c r="AI2" s="214" t="s">
        <v>269</v>
      </c>
      <c r="AJ2" s="214" t="s">
        <v>270</v>
      </c>
      <c r="AK2" s="214" t="s">
        <v>271</v>
      </c>
      <c r="AL2" s="214" t="s">
        <v>272</v>
      </c>
      <c r="AM2" s="214" t="s">
        <v>305</v>
      </c>
      <c r="AN2" s="214" t="s">
        <v>273</v>
      </c>
      <c r="AO2" s="214" t="s">
        <v>275</v>
      </c>
      <c r="AP2" s="214" t="s">
        <v>276</v>
      </c>
      <c r="AQ2" s="214" t="s">
        <v>415</v>
      </c>
      <c r="AR2" s="214" t="s">
        <v>422</v>
      </c>
      <c r="AS2" s="214" t="s">
        <v>423</v>
      </c>
      <c r="AT2" s="214" t="s">
        <v>423</v>
      </c>
      <c r="AU2" s="214" t="s">
        <v>424</v>
      </c>
      <c r="AV2" s="214" t="s">
        <v>427</v>
      </c>
      <c r="AW2" s="214" t="s">
        <v>426</v>
      </c>
      <c r="AX2" s="214" t="s">
        <v>425</v>
      </c>
      <c r="AY2" s="214" t="s">
        <v>428</v>
      </c>
      <c r="AZ2" s="214" t="s">
        <v>277</v>
      </c>
      <c r="BA2" s="214" t="s">
        <v>429</v>
      </c>
      <c r="BB2" s="214" t="s">
        <v>278</v>
      </c>
      <c r="BC2" s="214" t="s">
        <v>430</v>
      </c>
      <c r="BD2" s="214" t="s">
        <v>432</v>
      </c>
      <c r="BE2" s="214" t="s">
        <v>431</v>
      </c>
      <c r="BF2" s="214" t="s">
        <v>306</v>
      </c>
      <c r="BG2" s="214" t="s">
        <v>279</v>
      </c>
      <c r="BH2" s="214" t="s">
        <v>280</v>
      </c>
      <c r="BI2" s="214" t="s">
        <v>281</v>
      </c>
      <c r="BJ2" s="214" t="s">
        <v>282</v>
      </c>
      <c r="BK2" s="214" t="s">
        <v>283</v>
      </c>
      <c r="BL2" s="214" t="s">
        <v>284</v>
      </c>
      <c r="BM2" s="214" t="s">
        <v>285</v>
      </c>
      <c r="BN2" s="214" t="s">
        <v>286</v>
      </c>
      <c r="BO2" s="214" t="s">
        <v>287</v>
      </c>
      <c r="BP2" s="214" t="s">
        <v>288</v>
      </c>
      <c r="BQ2" s="214" t="s">
        <v>312</v>
      </c>
      <c r="BR2" s="214" t="s">
        <v>289</v>
      </c>
      <c r="BS2" s="214" t="s">
        <v>315</v>
      </c>
      <c r="BT2" s="214" t="s">
        <v>290</v>
      </c>
      <c r="BU2" s="214" t="s">
        <v>291</v>
      </c>
      <c r="BV2" s="214" t="s">
        <v>292</v>
      </c>
      <c r="BW2" s="214" t="s">
        <v>293</v>
      </c>
      <c r="BX2" s="214" t="s">
        <v>316</v>
      </c>
      <c r="BY2" s="214" t="s">
        <v>294</v>
      </c>
      <c r="BZ2" s="214" t="s">
        <v>317</v>
      </c>
      <c r="CA2" s="214" t="s">
        <v>318</v>
      </c>
      <c r="CB2" s="214" t="s">
        <v>319</v>
      </c>
      <c r="CC2" s="214" t="s">
        <v>327</v>
      </c>
      <c r="CD2" s="214" t="s">
        <v>295</v>
      </c>
      <c r="CE2" s="214" t="s">
        <v>320</v>
      </c>
      <c r="CF2" s="214" t="s">
        <v>321</v>
      </c>
      <c r="CG2" s="214" t="s">
        <v>322</v>
      </c>
      <c r="CH2" s="214" t="s">
        <v>328</v>
      </c>
      <c r="CI2" s="214" t="s">
        <v>323</v>
      </c>
      <c r="CJ2" s="214" t="s">
        <v>324</v>
      </c>
      <c r="CK2" s="214" t="s">
        <v>325</v>
      </c>
      <c r="CL2" s="214" t="s">
        <v>326</v>
      </c>
      <c r="CM2" s="214" t="s">
        <v>329</v>
      </c>
      <c r="CN2" s="214" t="s">
        <v>515</v>
      </c>
      <c r="CO2" s="214" t="s">
        <v>516</v>
      </c>
      <c r="CP2" s="214" t="s">
        <v>518</v>
      </c>
      <c r="CQ2" s="214" t="s">
        <v>517</v>
      </c>
      <c r="CR2" s="214" t="s">
        <v>519</v>
      </c>
      <c r="CS2" s="214" t="s">
        <v>520</v>
      </c>
      <c r="CT2" s="214" t="s">
        <v>521</v>
      </c>
      <c r="CU2" s="214" t="s">
        <v>522</v>
      </c>
      <c r="CV2" s="214" t="s">
        <v>523</v>
      </c>
      <c r="CW2" s="214" t="s">
        <v>524</v>
      </c>
      <c r="CX2" s="214" t="s">
        <v>525</v>
      </c>
      <c r="CY2" s="214" t="s">
        <v>526</v>
      </c>
      <c r="CZ2" s="214" t="s">
        <v>527</v>
      </c>
      <c r="DA2" s="214" t="s">
        <v>528</v>
      </c>
      <c r="DB2" s="214" t="s">
        <v>529</v>
      </c>
      <c r="DC2" s="214" t="s">
        <v>530</v>
      </c>
      <c r="DD2" s="214" t="s">
        <v>531</v>
      </c>
      <c r="DE2" s="214" t="s">
        <v>532</v>
      </c>
      <c r="DF2" s="214" t="s">
        <v>533</v>
      </c>
      <c r="DG2" s="214" t="s">
        <v>534</v>
      </c>
      <c r="DH2" s="214" t="s">
        <v>535</v>
      </c>
      <c r="DI2" s="214" t="s">
        <v>536</v>
      </c>
      <c r="DJ2" s="214" t="s">
        <v>537</v>
      </c>
      <c r="DK2" s="214" t="s">
        <v>538</v>
      </c>
      <c r="DL2" s="214" t="s">
        <v>539</v>
      </c>
      <c r="DM2" s="214" t="s">
        <v>296</v>
      </c>
      <c r="DN2" s="214" t="s">
        <v>330</v>
      </c>
      <c r="DO2" s="214" t="s">
        <v>331</v>
      </c>
      <c r="DP2" s="214" t="s">
        <v>332</v>
      </c>
      <c r="DQ2" s="214" t="s">
        <v>333</v>
      </c>
      <c r="DR2" s="214" t="s">
        <v>350</v>
      </c>
      <c r="DS2" s="214" t="s">
        <v>371</v>
      </c>
      <c r="DT2" s="214" t="s">
        <v>334</v>
      </c>
      <c r="DU2" s="214" t="s">
        <v>335</v>
      </c>
      <c r="DV2" s="214" t="s">
        <v>336</v>
      </c>
      <c r="DW2" s="214" t="s">
        <v>337</v>
      </c>
      <c r="DX2" s="214" t="s">
        <v>351</v>
      </c>
      <c r="DY2" s="214" t="s">
        <v>372</v>
      </c>
      <c r="DZ2" s="214" t="s">
        <v>338</v>
      </c>
      <c r="EA2" s="214" t="s">
        <v>339</v>
      </c>
      <c r="EB2" s="214" t="s">
        <v>340</v>
      </c>
      <c r="EC2" s="214" t="s">
        <v>341</v>
      </c>
      <c r="ED2" s="214" t="s">
        <v>352</v>
      </c>
      <c r="EE2" s="214" t="s">
        <v>373</v>
      </c>
      <c r="EF2" s="214" t="s">
        <v>342</v>
      </c>
      <c r="EG2" s="214" t="s">
        <v>353</v>
      </c>
      <c r="EH2" s="214" t="s">
        <v>343</v>
      </c>
      <c r="EI2" s="214" t="s">
        <v>344</v>
      </c>
      <c r="EJ2" s="214" t="s">
        <v>354</v>
      </c>
      <c r="EK2" s="214" t="s">
        <v>374</v>
      </c>
      <c r="EL2" s="214" t="s">
        <v>345</v>
      </c>
      <c r="EM2" s="214" t="s">
        <v>355</v>
      </c>
      <c r="EN2" s="214" t="s">
        <v>346</v>
      </c>
      <c r="EO2" s="214" t="s">
        <v>347</v>
      </c>
      <c r="EP2" s="214" t="s">
        <v>356</v>
      </c>
      <c r="EQ2" s="214" t="s">
        <v>375</v>
      </c>
      <c r="ER2" s="214" t="s">
        <v>348</v>
      </c>
      <c r="ES2" s="214" t="s">
        <v>349</v>
      </c>
      <c r="ET2" s="214" t="s">
        <v>469</v>
      </c>
      <c r="EU2" s="214" t="s">
        <v>470</v>
      </c>
      <c r="EV2" s="214" t="s">
        <v>471</v>
      </c>
      <c r="EW2" s="214" t="s">
        <v>472</v>
      </c>
      <c r="EX2" s="214" t="s">
        <v>473</v>
      </c>
      <c r="EY2" s="214" t="s">
        <v>474</v>
      </c>
      <c r="EZ2" s="214" t="s">
        <v>475</v>
      </c>
      <c r="FA2" s="214" t="s">
        <v>476</v>
      </c>
      <c r="FB2" s="214" t="s">
        <v>477</v>
      </c>
      <c r="FC2" s="214" t="s">
        <v>478</v>
      </c>
      <c r="FD2" s="214" t="s">
        <v>479</v>
      </c>
      <c r="FE2" s="214" t="s">
        <v>480</v>
      </c>
      <c r="FF2" s="214" t="s">
        <v>481</v>
      </c>
      <c r="FG2" s="214" t="s">
        <v>482</v>
      </c>
      <c r="FH2" s="214" t="s">
        <v>483</v>
      </c>
      <c r="FI2" s="214" t="s">
        <v>484</v>
      </c>
      <c r="FJ2" s="214" t="s">
        <v>485</v>
      </c>
      <c r="FK2" s="214" t="s">
        <v>486</v>
      </c>
      <c r="FL2" s="214" t="s">
        <v>487</v>
      </c>
      <c r="FM2" s="214" t="s">
        <v>488</v>
      </c>
      <c r="FN2" s="214" t="s">
        <v>489</v>
      </c>
      <c r="FO2" s="214" t="s">
        <v>490</v>
      </c>
      <c r="FP2" s="214" t="s">
        <v>491</v>
      </c>
      <c r="FQ2" s="214" t="s">
        <v>492</v>
      </c>
      <c r="FR2" s="214" t="s">
        <v>493</v>
      </c>
      <c r="FS2" s="214" t="s">
        <v>494</v>
      </c>
      <c r="FT2" s="214" t="s">
        <v>495</v>
      </c>
      <c r="FU2" s="214" t="s">
        <v>496</v>
      </c>
      <c r="FV2" s="214" t="s">
        <v>497</v>
      </c>
      <c r="FW2" s="214" t="s">
        <v>498</v>
      </c>
      <c r="FX2" s="214" t="s">
        <v>499</v>
      </c>
      <c r="FY2" s="214" t="s">
        <v>500</v>
      </c>
      <c r="FZ2" s="214" t="s">
        <v>501</v>
      </c>
      <c r="GA2" s="214" t="s">
        <v>297</v>
      </c>
      <c r="GB2" s="214" t="s">
        <v>357</v>
      </c>
      <c r="GC2" s="214" t="s">
        <v>358</v>
      </c>
      <c r="GD2" s="214" t="s">
        <v>359</v>
      </c>
      <c r="GE2" s="214" t="s">
        <v>360</v>
      </c>
      <c r="GF2" s="214" t="s">
        <v>298</v>
      </c>
      <c r="GG2" s="214" t="s">
        <v>362</v>
      </c>
      <c r="GH2" s="214" t="s">
        <v>361</v>
      </c>
      <c r="GI2" s="214" t="s">
        <v>299</v>
      </c>
      <c r="GJ2" s="214" t="s">
        <v>300</v>
      </c>
    </row>
    <row r="3" spans="1:192" ht="16" customHeight="1" x14ac:dyDescent="0.2">
      <c r="A3" s="215" t="s">
        <v>540</v>
      </c>
      <c r="B3" s="215">
        <v>2022</v>
      </c>
      <c r="C3" s="215" t="s">
        <v>541</v>
      </c>
      <c r="D3" s="215" t="s">
        <v>541</v>
      </c>
      <c r="E3" s="215" t="s">
        <v>541</v>
      </c>
      <c r="F3" s="215" t="s">
        <v>542</v>
      </c>
      <c r="G3" s="215" t="s">
        <v>542</v>
      </c>
      <c r="H3" s="215" t="s">
        <v>542</v>
      </c>
      <c r="I3" s="215" t="s">
        <v>588</v>
      </c>
      <c r="J3" s="215" t="s">
        <v>541</v>
      </c>
      <c r="K3" s="215" t="s">
        <v>541</v>
      </c>
      <c r="L3" s="215" t="s">
        <v>541</v>
      </c>
      <c r="M3" s="215" t="s">
        <v>542</v>
      </c>
      <c r="N3" s="215" t="s">
        <v>542</v>
      </c>
      <c r="O3" s="215" t="s">
        <v>542</v>
      </c>
      <c r="P3" s="215" t="s">
        <v>542</v>
      </c>
      <c r="Q3" s="215" t="s">
        <v>542</v>
      </c>
      <c r="R3" s="215" t="s">
        <v>542</v>
      </c>
      <c r="S3" s="215" t="s">
        <v>588</v>
      </c>
      <c r="T3" s="215" t="s">
        <v>542</v>
      </c>
      <c r="U3" s="215" t="s">
        <v>588</v>
      </c>
      <c r="V3" s="215" t="s">
        <v>541</v>
      </c>
      <c r="W3" s="215" t="s">
        <v>541</v>
      </c>
      <c r="X3" s="215" t="s">
        <v>542</v>
      </c>
      <c r="Y3" s="215" t="s">
        <v>542</v>
      </c>
      <c r="Z3" s="215" t="s">
        <v>542</v>
      </c>
      <c r="AA3" s="215" t="s">
        <v>542</v>
      </c>
      <c r="AB3" s="215" t="s">
        <v>542</v>
      </c>
      <c r="AC3" s="215" t="s">
        <v>542</v>
      </c>
      <c r="AD3" s="215" t="s">
        <v>542</v>
      </c>
      <c r="AE3" s="215" t="s">
        <v>542</v>
      </c>
      <c r="AF3" s="215" t="s">
        <v>542</v>
      </c>
      <c r="AG3" s="215" t="s">
        <v>588</v>
      </c>
      <c r="AH3" s="215" t="s">
        <v>542</v>
      </c>
      <c r="AI3" s="215" t="s">
        <v>542</v>
      </c>
      <c r="AJ3" s="215" t="s">
        <v>588</v>
      </c>
      <c r="AK3" s="215" t="s">
        <v>542</v>
      </c>
      <c r="AL3" s="215" t="s">
        <v>588</v>
      </c>
      <c r="AM3" s="215" t="s">
        <v>541</v>
      </c>
      <c r="AN3" s="215" t="s">
        <v>589</v>
      </c>
      <c r="AO3" s="215" t="s">
        <v>542</v>
      </c>
      <c r="AP3" s="215" t="s">
        <v>542</v>
      </c>
      <c r="AQ3" s="215" t="s">
        <v>542</v>
      </c>
      <c r="AR3" s="215" t="s">
        <v>542</v>
      </c>
      <c r="AS3" s="215" t="s">
        <v>542</v>
      </c>
      <c r="AT3" s="215" t="s">
        <v>542</v>
      </c>
      <c r="AU3" s="215" t="s">
        <v>542</v>
      </c>
      <c r="AV3" s="215" t="s">
        <v>542</v>
      </c>
      <c r="AW3" s="215" t="s">
        <v>588</v>
      </c>
      <c r="AX3" s="215" t="s">
        <v>542</v>
      </c>
      <c r="AY3" s="215" t="s">
        <v>588</v>
      </c>
      <c r="AZ3" s="215" t="s">
        <v>542</v>
      </c>
      <c r="BA3" s="215" t="s">
        <v>542</v>
      </c>
      <c r="BB3" s="215" t="s">
        <v>542</v>
      </c>
      <c r="BC3" s="215" t="s">
        <v>542</v>
      </c>
      <c r="BD3" s="215" t="s">
        <v>588</v>
      </c>
      <c r="BE3" s="215" t="s">
        <v>542</v>
      </c>
      <c r="BF3" s="215" t="s">
        <v>542</v>
      </c>
      <c r="BG3" s="215" t="s">
        <v>588</v>
      </c>
      <c r="BH3" s="215" t="s">
        <v>542</v>
      </c>
      <c r="BI3" s="215" t="s">
        <v>542</v>
      </c>
      <c r="BJ3" s="215" t="s">
        <v>542</v>
      </c>
      <c r="BK3" s="215" t="s">
        <v>542</v>
      </c>
      <c r="BL3" s="215" t="s">
        <v>588</v>
      </c>
      <c r="BM3" s="215" t="s">
        <v>542</v>
      </c>
      <c r="BN3" s="215" t="s">
        <v>588</v>
      </c>
      <c r="BO3" s="215" t="s">
        <v>542</v>
      </c>
      <c r="BP3" s="215" t="s">
        <v>542</v>
      </c>
      <c r="BQ3" s="215" t="s">
        <v>542</v>
      </c>
      <c r="BR3" s="215" t="s">
        <v>542</v>
      </c>
      <c r="BS3" s="215" t="s">
        <v>542</v>
      </c>
      <c r="BT3" s="215" t="s">
        <v>542</v>
      </c>
      <c r="BU3" s="215" t="s">
        <v>542</v>
      </c>
      <c r="BV3" s="215" t="s">
        <v>588</v>
      </c>
      <c r="BW3" s="215" t="s">
        <v>542</v>
      </c>
      <c r="BX3" s="215" t="s">
        <v>542</v>
      </c>
      <c r="BY3" s="215" t="s">
        <v>542</v>
      </c>
      <c r="BZ3" s="215" t="s">
        <v>542</v>
      </c>
      <c r="CA3" s="215" t="s">
        <v>542</v>
      </c>
      <c r="CB3" s="215" t="s">
        <v>542</v>
      </c>
      <c r="CC3" s="215" t="s">
        <v>542</v>
      </c>
      <c r="CD3" s="215" t="s">
        <v>542</v>
      </c>
      <c r="CE3" s="215" t="s">
        <v>542</v>
      </c>
      <c r="CF3" s="215" t="s">
        <v>542</v>
      </c>
      <c r="CG3" s="215" t="s">
        <v>542</v>
      </c>
      <c r="CH3" s="215" t="s">
        <v>542</v>
      </c>
      <c r="CI3" s="215" t="s">
        <v>542</v>
      </c>
      <c r="CJ3" s="215" t="s">
        <v>542</v>
      </c>
      <c r="CK3" s="215" t="s">
        <v>542</v>
      </c>
      <c r="CL3" s="215" t="s">
        <v>542</v>
      </c>
      <c r="CM3" s="215" t="s">
        <v>542</v>
      </c>
      <c r="CN3" s="215" t="s">
        <v>542</v>
      </c>
      <c r="CO3" s="215" t="s">
        <v>542</v>
      </c>
      <c r="CP3" s="215" t="s">
        <v>542</v>
      </c>
      <c r="CQ3" s="215" t="s">
        <v>542</v>
      </c>
      <c r="CR3" s="215" t="s">
        <v>542</v>
      </c>
      <c r="CS3" s="215" t="s">
        <v>542</v>
      </c>
      <c r="CT3" s="215" t="s">
        <v>542</v>
      </c>
      <c r="CU3" s="215" t="s">
        <v>542</v>
      </c>
      <c r="CV3" s="215" t="s">
        <v>542</v>
      </c>
      <c r="CW3" s="215" t="s">
        <v>542</v>
      </c>
      <c r="CX3" s="215" t="s">
        <v>541</v>
      </c>
      <c r="CY3" s="215" t="s">
        <v>542</v>
      </c>
      <c r="CZ3" s="215" t="s">
        <v>542</v>
      </c>
      <c r="DA3" s="215" t="s">
        <v>541</v>
      </c>
      <c r="DB3" s="215" t="s">
        <v>542</v>
      </c>
      <c r="DC3" s="215" t="s">
        <v>542</v>
      </c>
      <c r="DD3" s="215" t="s">
        <v>542</v>
      </c>
      <c r="DE3" s="215" t="s">
        <v>542</v>
      </c>
      <c r="DF3" s="215" t="s">
        <v>542</v>
      </c>
      <c r="DG3" s="215" t="s">
        <v>542</v>
      </c>
      <c r="DH3" s="215" t="s">
        <v>542</v>
      </c>
      <c r="DI3" s="215" t="s">
        <v>542</v>
      </c>
      <c r="DJ3" s="215" t="s">
        <v>542</v>
      </c>
      <c r="DK3" s="215" t="s">
        <v>542</v>
      </c>
      <c r="DL3" s="215" t="s">
        <v>588</v>
      </c>
      <c r="DM3" s="215" t="s">
        <v>542</v>
      </c>
      <c r="DN3" s="215" t="s">
        <v>542</v>
      </c>
      <c r="DO3" s="215" t="s">
        <v>542</v>
      </c>
      <c r="DP3" s="215" t="s">
        <v>542</v>
      </c>
      <c r="DQ3" s="215" t="s">
        <v>542</v>
      </c>
      <c r="DR3" s="215" t="s">
        <v>542</v>
      </c>
      <c r="DS3" s="215" t="s">
        <v>588</v>
      </c>
      <c r="DT3" s="215" t="s">
        <v>542</v>
      </c>
      <c r="DU3" s="215" t="s">
        <v>542</v>
      </c>
      <c r="DV3" s="215" t="s">
        <v>542</v>
      </c>
      <c r="DW3" s="215" t="s">
        <v>542</v>
      </c>
      <c r="DX3" s="215" t="s">
        <v>542</v>
      </c>
      <c r="DY3" s="215" t="s">
        <v>588</v>
      </c>
      <c r="DZ3" s="215" t="s">
        <v>542</v>
      </c>
      <c r="EA3" s="215" t="s">
        <v>542</v>
      </c>
      <c r="EB3" s="215" t="s">
        <v>542</v>
      </c>
      <c r="EC3" s="215" t="s">
        <v>542</v>
      </c>
      <c r="ED3" s="215" t="s">
        <v>542</v>
      </c>
      <c r="EE3" s="215" t="s">
        <v>588</v>
      </c>
      <c r="EF3" s="215" t="s">
        <v>542</v>
      </c>
      <c r="EG3" s="215" t="s">
        <v>542</v>
      </c>
      <c r="EH3" s="215" t="s">
        <v>542</v>
      </c>
      <c r="EI3" s="215" t="s">
        <v>542</v>
      </c>
      <c r="EJ3" s="215" t="s">
        <v>542</v>
      </c>
      <c r="EK3" s="215" t="s">
        <v>588</v>
      </c>
      <c r="EL3" s="215" t="s">
        <v>542</v>
      </c>
      <c r="EM3" s="215" t="s">
        <v>542</v>
      </c>
      <c r="EN3" s="215" t="s">
        <v>542</v>
      </c>
      <c r="EO3" s="215" t="s">
        <v>542</v>
      </c>
      <c r="EP3" s="215" t="s">
        <v>542</v>
      </c>
      <c r="EQ3" s="215" t="s">
        <v>588</v>
      </c>
      <c r="ER3" s="215" t="s">
        <v>542</v>
      </c>
      <c r="ES3" s="215" t="s">
        <v>588</v>
      </c>
      <c r="ET3" s="215" t="s">
        <v>542</v>
      </c>
      <c r="EU3" s="215" t="s">
        <v>542</v>
      </c>
      <c r="EV3" s="215" t="s">
        <v>542</v>
      </c>
      <c r="EW3" s="215" t="s">
        <v>542</v>
      </c>
      <c r="EX3" s="215" t="s">
        <v>542</v>
      </c>
      <c r="EY3" s="215" t="s">
        <v>542</v>
      </c>
      <c r="EZ3" s="215" t="s">
        <v>588</v>
      </c>
      <c r="FA3" s="215" t="s">
        <v>542</v>
      </c>
      <c r="FB3" s="215" t="s">
        <v>542</v>
      </c>
      <c r="FC3" s="215" t="s">
        <v>542</v>
      </c>
      <c r="FD3" s="215" t="s">
        <v>542</v>
      </c>
      <c r="FE3" s="215" t="s">
        <v>542</v>
      </c>
      <c r="FF3" s="215" t="s">
        <v>588</v>
      </c>
      <c r="FG3" s="215" t="s">
        <v>542</v>
      </c>
      <c r="FH3" s="215" t="s">
        <v>542</v>
      </c>
      <c r="FI3" s="215" t="s">
        <v>542</v>
      </c>
      <c r="FJ3" s="215" t="s">
        <v>542</v>
      </c>
      <c r="FK3" s="215" t="s">
        <v>542</v>
      </c>
      <c r="FL3" s="215" t="s">
        <v>588</v>
      </c>
      <c r="FM3" s="215" t="s">
        <v>542</v>
      </c>
      <c r="FN3" s="215" t="s">
        <v>542</v>
      </c>
      <c r="FO3" s="215" t="s">
        <v>542</v>
      </c>
      <c r="FP3" s="215" t="s">
        <v>542</v>
      </c>
      <c r="FQ3" s="215" t="s">
        <v>542</v>
      </c>
      <c r="FR3" s="215" t="s">
        <v>588</v>
      </c>
      <c r="FS3" s="215" t="s">
        <v>542</v>
      </c>
      <c r="FT3" s="215" t="s">
        <v>542</v>
      </c>
      <c r="FU3" s="215" t="s">
        <v>542</v>
      </c>
      <c r="FV3" s="215" t="s">
        <v>542</v>
      </c>
      <c r="FW3" s="215" t="s">
        <v>542</v>
      </c>
      <c r="FX3" s="215" t="s">
        <v>588</v>
      </c>
      <c r="FY3" s="215" t="s">
        <v>542</v>
      </c>
      <c r="FZ3" s="215" t="s">
        <v>588</v>
      </c>
      <c r="GA3" s="215" t="s">
        <v>542</v>
      </c>
      <c r="GB3" s="215" t="s">
        <v>542</v>
      </c>
      <c r="GC3" s="215" t="s">
        <v>542</v>
      </c>
      <c r="GD3" s="215" t="s">
        <v>542</v>
      </c>
      <c r="GE3" s="215" t="s">
        <v>542</v>
      </c>
      <c r="GF3" s="215" t="s">
        <v>542</v>
      </c>
      <c r="GG3" s="215" t="s">
        <v>542</v>
      </c>
      <c r="GH3" s="215" t="s">
        <v>588</v>
      </c>
      <c r="GI3" s="215" t="s">
        <v>542</v>
      </c>
      <c r="GJ3" s="215" t="s">
        <v>588</v>
      </c>
    </row>
    <row r="4" spans="1:192" x14ac:dyDescent="0.2">
      <c r="A4" s="215" t="s">
        <v>543</v>
      </c>
      <c r="B4" s="215">
        <v>2024</v>
      </c>
      <c r="C4" s="215" t="s">
        <v>541</v>
      </c>
      <c r="D4" s="215" t="s">
        <v>541</v>
      </c>
      <c r="E4" s="215" t="s">
        <v>541</v>
      </c>
      <c r="F4" s="215" t="s">
        <v>542</v>
      </c>
      <c r="G4" s="215" t="s">
        <v>542</v>
      </c>
      <c r="H4" s="215" t="s">
        <v>541</v>
      </c>
      <c r="I4" s="215" t="s">
        <v>586</v>
      </c>
      <c r="J4" s="215" t="s">
        <v>541</v>
      </c>
      <c r="K4" s="215" t="s">
        <v>541</v>
      </c>
      <c r="L4" s="215" t="s">
        <v>541</v>
      </c>
      <c r="M4" s="215" t="s">
        <v>542</v>
      </c>
      <c r="N4" s="215" t="s">
        <v>542</v>
      </c>
      <c r="O4" s="215" t="s">
        <v>542</v>
      </c>
      <c r="P4" s="215" t="s">
        <v>542</v>
      </c>
      <c r="Q4" s="215" t="s">
        <v>542</v>
      </c>
      <c r="R4" s="215" t="s">
        <v>542</v>
      </c>
      <c r="S4" s="215" t="s">
        <v>588</v>
      </c>
      <c r="T4" s="215" t="s">
        <v>542</v>
      </c>
      <c r="U4" s="215" t="s">
        <v>588</v>
      </c>
      <c r="V4" s="215" t="s">
        <v>541</v>
      </c>
      <c r="W4" s="215" t="s">
        <v>541</v>
      </c>
      <c r="X4" s="215" t="s">
        <v>541</v>
      </c>
      <c r="Y4" s="215" t="s">
        <v>541</v>
      </c>
      <c r="Z4" s="215" t="s">
        <v>542</v>
      </c>
      <c r="AA4" s="215" t="s">
        <v>541</v>
      </c>
      <c r="AB4" s="215" t="s">
        <v>542</v>
      </c>
      <c r="AC4" s="215" t="s">
        <v>541</v>
      </c>
      <c r="AD4" s="215" t="s">
        <v>542</v>
      </c>
      <c r="AE4" s="215" t="s">
        <v>542</v>
      </c>
      <c r="AF4" s="215" t="s">
        <v>541</v>
      </c>
      <c r="AG4" s="215" t="s">
        <v>590</v>
      </c>
      <c r="AH4" s="215" t="s">
        <v>541</v>
      </c>
      <c r="AI4" s="215" t="s">
        <v>542</v>
      </c>
      <c r="AJ4" s="215" t="s">
        <v>588</v>
      </c>
      <c r="AK4" s="215" t="s">
        <v>542</v>
      </c>
      <c r="AL4" s="215" t="s">
        <v>588</v>
      </c>
      <c r="AM4" s="215" t="s">
        <v>541</v>
      </c>
      <c r="AN4" s="215" t="s">
        <v>589</v>
      </c>
      <c r="AO4" s="215" t="s">
        <v>542</v>
      </c>
      <c r="AP4" s="215" t="s">
        <v>542</v>
      </c>
      <c r="AQ4" s="215" t="s">
        <v>542</v>
      </c>
      <c r="AR4" s="215" t="s">
        <v>542</v>
      </c>
      <c r="AS4" s="215" t="s">
        <v>542</v>
      </c>
      <c r="AT4" s="215" t="s">
        <v>542</v>
      </c>
      <c r="AU4" s="215" t="s">
        <v>542</v>
      </c>
      <c r="AV4" s="215" t="s">
        <v>542</v>
      </c>
      <c r="AW4" s="215" t="s">
        <v>588</v>
      </c>
      <c r="AX4" s="215" t="s">
        <v>542</v>
      </c>
      <c r="AY4" s="215" t="s">
        <v>588</v>
      </c>
      <c r="AZ4" s="215" t="s">
        <v>542</v>
      </c>
      <c r="BA4" s="215" t="s">
        <v>542</v>
      </c>
      <c r="BB4" s="215" t="s">
        <v>542</v>
      </c>
      <c r="BC4" s="215" t="s">
        <v>542</v>
      </c>
      <c r="BD4" s="215" t="s">
        <v>588</v>
      </c>
      <c r="BE4" s="215" t="s">
        <v>542</v>
      </c>
      <c r="BF4" s="215" t="s">
        <v>542</v>
      </c>
      <c r="BG4" s="215" t="s">
        <v>588</v>
      </c>
      <c r="BH4" s="215" t="s">
        <v>542</v>
      </c>
      <c r="BI4" s="215" t="s">
        <v>542</v>
      </c>
      <c r="BJ4" s="215" t="s">
        <v>542</v>
      </c>
      <c r="BK4" s="215" t="s">
        <v>542</v>
      </c>
      <c r="BL4" s="215" t="s">
        <v>588</v>
      </c>
      <c r="BM4" s="215" t="s">
        <v>542</v>
      </c>
      <c r="BN4" s="215" t="s">
        <v>588</v>
      </c>
      <c r="BO4" s="215" t="s">
        <v>542</v>
      </c>
      <c r="BP4" s="215" t="s">
        <v>542</v>
      </c>
      <c r="BQ4" s="215" t="s">
        <v>542</v>
      </c>
      <c r="BR4" s="215" t="s">
        <v>542</v>
      </c>
      <c r="BS4" s="215" t="s">
        <v>542</v>
      </c>
      <c r="BT4" s="215" t="s">
        <v>542</v>
      </c>
      <c r="BU4" s="215" t="s">
        <v>542</v>
      </c>
      <c r="BV4" s="215" t="s">
        <v>588</v>
      </c>
      <c r="BW4" s="215" t="s">
        <v>541</v>
      </c>
      <c r="BX4" s="215" t="s">
        <v>541</v>
      </c>
      <c r="BY4" s="215" t="s">
        <v>542</v>
      </c>
      <c r="BZ4" s="215" t="s">
        <v>542</v>
      </c>
      <c r="CA4" s="215" t="s">
        <v>542</v>
      </c>
      <c r="CB4" s="215" t="s">
        <v>541</v>
      </c>
      <c r="CC4" s="215" t="s">
        <v>542</v>
      </c>
      <c r="CD4" s="215" t="s">
        <v>542</v>
      </c>
      <c r="CE4" s="215" t="s">
        <v>542</v>
      </c>
      <c r="CF4" s="215" t="s">
        <v>542</v>
      </c>
      <c r="CG4" s="215" t="s">
        <v>542</v>
      </c>
      <c r="CH4" s="215" t="s">
        <v>541</v>
      </c>
      <c r="CI4" s="215" t="s">
        <v>541</v>
      </c>
      <c r="CJ4" s="215" t="s">
        <v>542</v>
      </c>
      <c r="CK4" s="215" t="s">
        <v>542</v>
      </c>
      <c r="CL4" s="215" t="s">
        <v>542</v>
      </c>
      <c r="CM4" s="215" t="s">
        <v>542</v>
      </c>
      <c r="CN4" s="215" t="s">
        <v>541</v>
      </c>
      <c r="CO4" s="215" t="s">
        <v>542</v>
      </c>
      <c r="CP4" s="215" t="s">
        <v>542</v>
      </c>
      <c r="CQ4" s="215" t="s">
        <v>542</v>
      </c>
      <c r="CR4" s="215" t="s">
        <v>542</v>
      </c>
      <c r="CS4" s="215" t="s">
        <v>542</v>
      </c>
      <c r="CT4" s="215" t="s">
        <v>542</v>
      </c>
      <c r="CU4" s="215" t="s">
        <v>542</v>
      </c>
      <c r="CV4" s="215" t="s">
        <v>542</v>
      </c>
      <c r="CW4" s="215" t="s">
        <v>542</v>
      </c>
      <c r="CX4" s="215" t="s">
        <v>541</v>
      </c>
      <c r="CY4" s="215" t="s">
        <v>542</v>
      </c>
      <c r="CZ4" s="215" t="s">
        <v>542</v>
      </c>
      <c r="DA4" s="215" t="s">
        <v>541</v>
      </c>
      <c r="DB4" s="215" t="s">
        <v>542</v>
      </c>
      <c r="DC4" s="215" t="s">
        <v>542</v>
      </c>
      <c r="DD4" s="215" t="s">
        <v>542</v>
      </c>
      <c r="DE4" s="215" t="s">
        <v>542</v>
      </c>
      <c r="DF4" s="215" t="s">
        <v>542</v>
      </c>
      <c r="DG4" s="215" t="s">
        <v>542</v>
      </c>
      <c r="DH4" s="215" t="s">
        <v>542</v>
      </c>
      <c r="DI4" s="215" t="s">
        <v>542</v>
      </c>
      <c r="DJ4" s="215" t="s">
        <v>542</v>
      </c>
      <c r="DK4" s="215" t="s">
        <v>542</v>
      </c>
      <c r="DL4" s="215" t="s">
        <v>588</v>
      </c>
      <c r="DM4" s="215" t="s">
        <v>542</v>
      </c>
      <c r="DN4" s="215" t="s">
        <v>542</v>
      </c>
      <c r="DO4" s="215" t="s">
        <v>542</v>
      </c>
      <c r="DP4" s="215" t="s">
        <v>542</v>
      </c>
      <c r="DQ4" s="215" t="s">
        <v>542</v>
      </c>
      <c r="DR4" s="215" t="s">
        <v>542</v>
      </c>
      <c r="DS4" s="215" t="s">
        <v>588</v>
      </c>
      <c r="DT4" s="215" t="s">
        <v>542</v>
      </c>
      <c r="DU4" s="215" t="s">
        <v>542</v>
      </c>
      <c r="DV4" s="215" t="s">
        <v>542</v>
      </c>
      <c r="DW4" s="215" t="s">
        <v>542</v>
      </c>
      <c r="DX4" s="215" t="s">
        <v>542</v>
      </c>
      <c r="DY4" s="215" t="s">
        <v>588</v>
      </c>
      <c r="DZ4" s="215" t="s">
        <v>542</v>
      </c>
      <c r="EA4" s="215" t="s">
        <v>542</v>
      </c>
      <c r="EB4" s="215" t="s">
        <v>542</v>
      </c>
      <c r="EC4" s="215" t="s">
        <v>542</v>
      </c>
      <c r="ED4" s="215" t="s">
        <v>542</v>
      </c>
      <c r="EE4" s="215" t="s">
        <v>588</v>
      </c>
      <c r="EF4" s="215" t="s">
        <v>542</v>
      </c>
      <c r="EG4" s="215" t="s">
        <v>542</v>
      </c>
      <c r="EH4" s="215" t="s">
        <v>542</v>
      </c>
      <c r="EI4" s="215" t="s">
        <v>542</v>
      </c>
      <c r="EJ4" s="215" t="s">
        <v>542</v>
      </c>
      <c r="EK4" s="215" t="s">
        <v>588</v>
      </c>
      <c r="EL4" s="215" t="s">
        <v>542</v>
      </c>
      <c r="EM4" s="215" t="s">
        <v>542</v>
      </c>
      <c r="EN4" s="215" t="s">
        <v>542</v>
      </c>
      <c r="EO4" s="215" t="s">
        <v>542</v>
      </c>
      <c r="EP4" s="215" t="s">
        <v>542</v>
      </c>
      <c r="EQ4" s="215" t="s">
        <v>588</v>
      </c>
      <c r="ER4" s="215" t="s">
        <v>542</v>
      </c>
      <c r="ES4" s="215" t="s">
        <v>588</v>
      </c>
      <c r="ET4" s="215" t="s">
        <v>542</v>
      </c>
      <c r="EU4" s="215" t="s">
        <v>542</v>
      </c>
      <c r="EV4" s="215" t="s">
        <v>542</v>
      </c>
      <c r="EW4" s="215" t="s">
        <v>542</v>
      </c>
      <c r="EX4" s="215" t="s">
        <v>542</v>
      </c>
      <c r="EY4" s="215" t="s">
        <v>542</v>
      </c>
      <c r="EZ4" s="215" t="s">
        <v>588</v>
      </c>
      <c r="FA4" s="215" t="s">
        <v>542</v>
      </c>
      <c r="FB4" s="215" t="s">
        <v>542</v>
      </c>
      <c r="FC4" s="215" t="s">
        <v>542</v>
      </c>
      <c r="FD4" s="215" t="s">
        <v>542</v>
      </c>
      <c r="FE4" s="215" t="s">
        <v>542</v>
      </c>
      <c r="FF4" s="215" t="s">
        <v>588</v>
      </c>
      <c r="FG4" s="215" t="s">
        <v>542</v>
      </c>
      <c r="FH4" s="215" t="s">
        <v>542</v>
      </c>
      <c r="FI4" s="215" t="s">
        <v>542</v>
      </c>
      <c r="FJ4" s="215" t="s">
        <v>542</v>
      </c>
      <c r="FK4" s="215" t="s">
        <v>542</v>
      </c>
      <c r="FL4" s="215" t="s">
        <v>588</v>
      </c>
      <c r="FM4" s="215" t="s">
        <v>542</v>
      </c>
      <c r="FN4" s="215" t="s">
        <v>542</v>
      </c>
      <c r="FO4" s="215" t="s">
        <v>542</v>
      </c>
      <c r="FP4" s="215" t="s">
        <v>542</v>
      </c>
      <c r="FQ4" s="215" t="s">
        <v>542</v>
      </c>
      <c r="FR4" s="215" t="s">
        <v>588</v>
      </c>
      <c r="FS4" s="215" t="s">
        <v>542</v>
      </c>
      <c r="FT4" s="215" t="s">
        <v>542</v>
      </c>
      <c r="FU4" s="215" t="s">
        <v>542</v>
      </c>
      <c r="FV4" s="215" t="s">
        <v>542</v>
      </c>
      <c r="FW4" s="215" t="s">
        <v>542</v>
      </c>
      <c r="FX4" s="215" t="s">
        <v>588</v>
      </c>
      <c r="FY4" s="215" t="s">
        <v>542</v>
      </c>
      <c r="FZ4" s="215" t="s">
        <v>588</v>
      </c>
      <c r="GA4" s="215" t="s">
        <v>542</v>
      </c>
      <c r="GB4" s="215" t="s">
        <v>542</v>
      </c>
      <c r="GC4" s="215" t="s">
        <v>542</v>
      </c>
      <c r="GD4" s="215" t="s">
        <v>542</v>
      </c>
      <c r="GE4" s="215" t="s">
        <v>542</v>
      </c>
      <c r="GF4" s="215" t="s">
        <v>542</v>
      </c>
      <c r="GG4" s="215" t="s">
        <v>542</v>
      </c>
      <c r="GH4" s="215" t="s">
        <v>588</v>
      </c>
      <c r="GI4" s="215" t="s">
        <v>542</v>
      </c>
      <c r="GJ4" s="215" t="s">
        <v>588</v>
      </c>
    </row>
    <row r="5" spans="1:192" x14ac:dyDescent="0.2">
      <c r="A5" s="215" t="s">
        <v>545</v>
      </c>
      <c r="B5" s="215">
        <v>2024</v>
      </c>
      <c r="C5" s="215" t="s">
        <v>541</v>
      </c>
      <c r="D5" s="215" t="s">
        <v>541</v>
      </c>
      <c r="E5" s="215" t="s">
        <v>541</v>
      </c>
      <c r="F5" s="215" t="s">
        <v>541</v>
      </c>
      <c r="G5" s="215" t="s">
        <v>542</v>
      </c>
      <c r="H5" s="215" t="s">
        <v>541</v>
      </c>
      <c r="I5" s="215" t="s">
        <v>591</v>
      </c>
      <c r="J5" s="215" t="s">
        <v>541</v>
      </c>
      <c r="K5" s="215" t="s">
        <v>541</v>
      </c>
      <c r="L5" s="215" t="s">
        <v>541</v>
      </c>
      <c r="M5" s="215" t="s">
        <v>542</v>
      </c>
      <c r="N5" s="215" t="s">
        <v>542</v>
      </c>
      <c r="O5" s="215" t="s">
        <v>542</v>
      </c>
      <c r="P5" s="215" t="s">
        <v>542</v>
      </c>
      <c r="Q5" s="215" t="s">
        <v>542</v>
      </c>
      <c r="R5" s="215" t="s">
        <v>542</v>
      </c>
      <c r="S5" s="215" t="s">
        <v>588</v>
      </c>
      <c r="T5" s="215" t="s">
        <v>542</v>
      </c>
      <c r="U5" s="215" t="s">
        <v>588</v>
      </c>
      <c r="V5" s="215" t="s">
        <v>541</v>
      </c>
      <c r="W5" s="215" t="s">
        <v>541</v>
      </c>
      <c r="X5" s="215" t="s">
        <v>541</v>
      </c>
      <c r="Y5" s="215" t="s">
        <v>541</v>
      </c>
      <c r="Z5" s="215" t="s">
        <v>542</v>
      </c>
      <c r="AA5" s="215" t="s">
        <v>541</v>
      </c>
      <c r="AB5" s="215" t="s">
        <v>542</v>
      </c>
      <c r="AC5" s="215" t="s">
        <v>541</v>
      </c>
      <c r="AD5" s="215" t="s">
        <v>542</v>
      </c>
      <c r="AE5" s="215" t="s">
        <v>542</v>
      </c>
      <c r="AF5" s="215" t="s">
        <v>541</v>
      </c>
      <c r="AG5" s="215" t="s">
        <v>590</v>
      </c>
      <c r="AH5" s="215" t="s">
        <v>541</v>
      </c>
      <c r="AI5" s="215" t="s">
        <v>542</v>
      </c>
      <c r="AJ5" s="215" t="s">
        <v>588</v>
      </c>
      <c r="AK5" s="215" t="s">
        <v>542</v>
      </c>
      <c r="AL5" s="215" t="s">
        <v>588</v>
      </c>
      <c r="AM5" s="215" t="s">
        <v>541</v>
      </c>
      <c r="AN5" s="215" t="s">
        <v>592</v>
      </c>
      <c r="AO5" s="215" t="s">
        <v>542</v>
      </c>
      <c r="AP5" s="215" t="s">
        <v>542</v>
      </c>
      <c r="AQ5" s="215" t="s">
        <v>542</v>
      </c>
      <c r="AR5" s="215" t="s">
        <v>542</v>
      </c>
      <c r="AS5" s="215" t="s">
        <v>542</v>
      </c>
      <c r="AT5" s="215" t="s">
        <v>542</v>
      </c>
      <c r="AU5" s="215" t="s">
        <v>542</v>
      </c>
      <c r="AV5" s="215" t="s">
        <v>542</v>
      </c>
      <c r="AW5" s="215" t="s">
        <v>588</v>
      </c>
      <c r="AX5" s="215" t="s">
        <v>542</v>
      </c>
      <c r="AY5" s="215" t="s">
        <v>588</v>
      </c>
      <c r="AZ5" s="215" t="s">
        <v>542</v>
      </c>
      <c r="BA5" s="215" t="s">
        <v>542</v>
      </c>
      <c r="BB5" s="215" t="s">
        <v>542</v>
      </c>
      <c r="BC5" s="215" t="s">
        <v>542</v>
      </c>
      <c r="BD5" s="215" t="s">
        <v>588</v>
      </c>
      <c r="BE5" s="215" t="s">
        <v>542</v>
      </c>
      <c r="BF5" s="215" t="s">
        <v>542</v>
      </c>
      <c r="BG5" s="215" t="s">
        <v>588</v>
      </c>
      <c r="BH5" s="215" t="s">
        <v>542</v>
      </c>
      <c r="BI5" s="215" t="s">
        <v>542</v>
      </c>
      <c r="BJ5" s="215" t="s">
        <v>542</v>
      </c>
      <c r="BK5" s="215" t="s">
        <v>542</v>
      </c>
      <c r="BL5" s="215" t="s">
        <v>588</v>
      </c>
      <c r="BM5" s="215" t="s">
        <v>542</v>
      </c>
      <c r="BN5" s="215" t="s">
        <v>588</v>
      </c>
      <c r="BO5" s="215" t="s">
        <v>542</v>
      </c>
      <c r="BP5" s="215" t="s">
        <v>542</v>
      </c>
      <c r="BQ5" s="215" t="s">
        <v>542</v>
      </c>
      <c r="BR5" s="215" t="s">
        <v>542</v>
      </c>
      <c r="BS5" s="215" t="s">
        <v>542</v>
      </c>
      <c r="BT5" s="215" t="s">
        <v>542</v>
      </c>
      <c r="BU5" s="215" t="s">
        <v>542</v>
      </c>
      <c r="BV5" s="215" t="s">
        <v>588</v>
      </c>
      <c r="BW5" s="215" t="s">
        <v>541</v>
      </c>
      <c r="BX5" s="215" t="s">
        <v>541</v>
      </c>
      <c r="BY5" s="215" t="s">
        <v>542</v>
      </c>
      <c r="BZ5" s="215" t="s">
        <v>542</v>
      </c>
      <c r="CA5" s="215" t="s">
        <v>542</v>
      </c>
      <c r="CB5" s="215" t="s">
        <v>541</v>
      </c>
      <c r="CC5" s="215" t="s">
        <v>541</v>
      </c>
      <c r="CD5" s="215" t="s">
        <v>541</v>
      </c>
      <c r="CE5" s="215" t="s">
        <v>542</v>
      </c>
      <c r="CF5" s="215" t="s">
        <v>542</v>
      </c>
      <c r="CG5" s="215" t="s">
        <v>541</v>
      </c>
      <c r="CH5" s="215" t="s">
        <v>541</v>
      </c>
      <c r="CI5" s="215" t="s">
        <v>541</v>
      </c>
      <c r="CJ5" s="215" t="s">
        <v>542</v>
      </c>
      <c r="CK5" s="215" t="s">
        <v>542</v>
      </c>
      <c r="CL5" s="215" t="s">
        <v>542</v>
      </c>
      <c r="CM5" s="215" t="s">
        <v>541</v>
      </c>
      <c r="CN5" s="215" t="s">
        <v>541</v>
      </c>
      <c r="CO5" s="215" t="s">
        <v>541</v>
      </c>
      <c r="CP5" s="215" t="s">
        <v>542</v>
      </c>
      <c r="CQ5" s="215" t="s">
        <v>542</v>
      </c>
      <c r="CR5" s="215" t="s">
        <v>542</v>
      </c>
      <c r="CS5" s="215" t="s">
        <v>541</v>
      </c>
      <c r="CT5" s="215" t="s">
        <v>542</v>
      </c>
      <c r="CU5" s="215" t="s">
        <v>542</v>
      </c>
      <c r="CV5" s="215" t="s">
        <v>542</v>
      </c>
      <c r="CW5" s="215" t="s">
        <v>542</v>
      </c>
      <c r="CX5" s="215" t="s">
        <v>541</v>
      </c>
      <c r="CY5" s="215" t="s">
        <v>542</v>
      </c>
      <c r="CZ5" s="215" t="s">
        <v>542</v>
      </c>
      <c r="DA5" s="215" t="s">
        <v>541</v>
      </c>
      <c r="DB5" s="215" t="s">
        <v>542</v>
      </c>
      <c r="DC5" s="215" t="s">
        <v>542</v>
      </c>
      <c r="DD5" s="215" t="s">
        <v>542</v>
      </c>
      <c r="DE5" s="215" t="s">
        <v>542</v>
      </c>
      <c r="DF5" s="215" t="s">
        <v>542</v>
      </c>
      <c r="DG5" s="215" t="s">
        <v>542</v>
      </c>
      <c r="DH5" s="215" t="s">
        <v>542</v>
      </c>
      <c r="DI5" s="215" t="s">
        <v>542</v>
      </c>
      <c r="DJ5" s="215" t="s">
        <v>542</v>
      </c>
      <c r="DK5" s="215" t="s">
        <v>542</v>
      </c>
      <c r="DL5" s="215" t="s">
        <v>588</v>
      </c>
      <c r="DM5" s="215" t="s">
        <v>542</v>
      </c>
      <c r="DN5" s="215" t="s">
        <v>542</v>
      </c>
      <c r="DO5" s="215" t="s">
        <v>542</v>
      </c>
      <c r="DP5" s="215" t="s">
        <v>542</v>
      </c>
      <c r="DQ5" s="215" t="s">
        <v>542</v>
      </c>
      <c r="DR5" s="215" t="s">
        <v>542</v>
      </c>
      <c r="DS5" s="215" t="s">
        <v>588</v>
      </c>
      <c r="DT5" s="215" t="s">
        <v>542</v>
      </c>
      <c r="DU5" s="215" t="s">
        <v>542</v>
      </c>
      <c r="DV5" s="215" t="s">
        <v>542</v>
      </c>
      <c r="DW5" s="215" t="s">
        <v>542</v>
      </c>
      <c r="DX5" s="215" t="s">
        <v>542</v>
      </c>
      <c r="DY5" s="215" t="s">
        <v>588</v>
      </c>
      <c r="DZ5" s="215" t="s">
        <v>542</v>
      </c>
      <c r="EA5" s="215" t="s">
        <v>542</v>
      </c>
      <c r="EB5" s="215" t="s">
        <v>542</v>
      </c>
      <c r="EC5" s="215" t="s">
        <v>542</v>
      </c>
      <c r="ED5" s="215" t="s">
        <v>542</v>
      </c>
      <c r="EE5" s="215" t="s">
        <v>588</v>
      </c>
      <c r="EF5" s="215" t="s">
        <v>542</v>
      </c>
      <c r="EG5" s="215" t="s">
        <v>542</v>
      </c>
      <c r="EH5" s="215" t="s">
        <v>542</v>
      </c>
      <c r="EI5" s="215" t="s">
        <v>542</v>
      </c>
      <c r="EJ5" s="215" t="s">
        <v>542</v>
      </c>
      <c r="EK5" s="215" t="s">
        <v>588</v>
      </c>
      <c r="EL5" s="215" t="s">
        <v>542</v>
      </c>
      <c r="EM5" s="215" t="s">
        <v>542</v>
      </c>
      <c r="EN5" s="215" t="s">
        <v>542</v>
      </c>
      <c r="EO5" s="215" t="s">
        <v>542</v>
      </c>
      <c r="EP5" s="215" t="s">
        <v>542</v>
      </c>
      <c r="EQ5" s="215" t="s">
        <v>588</v>
      </c>
      <c r="ER5" s="215" t="s">
        <v>542</v>
      </c>
      <c r="ES5" s="215" t="s">
        <v>588</v>
      </c>
      <c r="ET5" s="215" t="s">
        <v>542</v>
      </c>
      <c r="EU5" s="215" t="s">
        <v>542</v>
      </c>
      <c r="EV5" s="215" t="s">
        <v>542</v>
      </c>
      <c r="EW5" s="215" t="s">
        <v>542</v>
      </c>
      <c r="EX5" s="215" t="s">
        <v>542</v>
      </c>
      <c r="EY5" s="215" t="s">
        <v>542</v>
      </c>
      <c r="EZ5" s="215" t="s">
        <v>588</v>
      </c>
      <c r="FA5" s="215" t="s">
        <v>542</v>
      </c>
      <c r="FB5" s="215" t="s">
        <v>542</v>
      </c>
      <c r="FC5" s="215" t="s">
        <v>542</v>
      </c>
      <c r="FD5" s="215" t="s">
        <v>542</v>
      </c>
      <c r="FE5" s="215" t="s">
        <v>542</v>
      </c>
      <c r="FF5" s="215" t="s">
        <v>588</v>
      </c>
      <c r="FG5" s="215" t="s">
        <v>542</v>
      </c>
      <c r="FH5" s="215" t="s">
        <v>542</v>
      </c>
      <c r="FI5" s="215" t="s">
        <v>542</v>
      </c>
      <c r="FJ5" s="215" t="s">
        <v>542</v>
      </c>
      <c r="FK5" s="215" t="s">
        <v>542</v>
      </c>
      <c r="FL5" s="215" t="s">
        <v>588</v>
      </c>
      <c r="FM5" s="215" t="s">
        <v>542</v>
      </c>
      <c r="FN5" s="215" t="s">
        <v>542</v>
      </c>
      <c r="FO5" s="215" t="s">
        <v>542</v>
      </c>
      <c r="FP5" s="215" t="s">
        <v>542</v>
      </c>
      <c r="FQ5" s="215" t="s">
        <v>542</v>
      </c>
      <c r="FR5" s="215" t="s">
        <v>588</v>
      </c>
      <c r="FS5" s="215" t="s">
        <v>542</v>
      </c>
      <c r="FT5" s="215" t="s">
        <v>542</v>
      </c>
      <c r="FU5" s="215" t="s">
        <v>542</v>
      </c>
      <c r="FV5" s="215" t="s">
        <v>542</v>
      </c>
      <c r="FW5" s="215" t="s">
        <v>542</v>
      </c>
      <c r="FX5" s="215" t="s">
        <v>588</v>
      </c>
      <c r="FY5" s="215" t="s">
        <v>542</v>
      </c>
      <c r="FZ5" s="215" t="s">
        <v>588</v>
      </c>
      <c r="GA5" s="215" t="s">
        <v>542</v>
      </c>
      <c r="GB5" s="215" t="s">
        <v>542</v>
      </c>
      <c r="GC5" s="215" t="s">
        <v>542</v>
      </c>
      <c r="GD5" s="215" t="s">
        <v>542</v>
      </c>
      <c r="GE5" s="215" t="s">
        <v>542</v>
      </c>
      <c r="GF5" s="215" t="s">
        <v>542</v>
      </c>
      <c r="GG5" s="215" t="s">
        <v>542</v>
      </c>
      <c r="GH5" s="215" t="s">
        <v>588</v>
      </c>
      <c r="GI5" s="215" t="s">
        <v>542</v>
      </c>
      <c r="GJ5" s="215" t="s">
        <v>588</v>
      </c>
    </row>
    <row r="6" spans="1:192" x14ac:dyDescent="0.2">
      <c r="A6" s="215" t="s">
        <v>547</v>
      </c>
      <c r="B6" s="215">
        <v>2024</v>
      </c>
      <c r="C6" s="215" t="s">
        <v>541</v>
      </c>
      <c r="D6" s="215" t="s">
        <v>541</v>
      </c>
      <c r="E6" s="215" t="s">
        <v>541</v>
      </c>
      <c r="F6" s="215" t="s">
        <v>542</v>
      </c>
      <c r="G6" s="215" t="s">
        <v>542</v>
      </c>
      <c r="H6" s="215" t="s">
        <v>542</v>
      </c>
      <c r="I6" s="215" t="s">
        <v>588</v>
      </c>
      <c r="J6" s="215" t="s">
        <v>542</v>
      </c>
      <c r="K6" s="215" t="s">
        <v>542</v>
      </c>
      <c r="L6" s="215" t="s">
        <v>542</v>
      </c>
      <c r="M6" s="215" t="s">
        <v>542</v>
      </c>
      <c r="N6" s="215" t="s">
        <v>542</v>
      </c>
      <c r="O6" s="215" t="s">
        <v>542</v>
      </c>
      <c r="P6" s="215" t="s">
        <v>542</v>
      </c>
      <c r="Q6" s="215" t="s">
        <v>542</v>
      </c>
      <c r="R6" s="215" t="s">
        <v>542</v>
      </c>
      <c r="S6" s="215" t="s">
        <v>588</v>
      </c>
      <c r="T6" s="215" t="s">
        <v>542</v>
      </c>
      <c r="U6" s="215" t="s">
        <v>588</v>
      </c>
      <c r="V6" s="215" t="s">
        <v>542</v>
      </c>
      <c r="W6" s="215" t="s">
        <v>542</v>
      </c>
      <c r="X6" s="215" t="s">
        <v>542</v>
      </c>
      <c r="Y6" s="215" t="s">
        <v>542</v>
      </c>
      <c r="Z6" s="215" t="s">
        <v>542</v>
      </c>
      <c r="AA6" s="215" t="s">
        <v>542</v>
      </c>
      <c r="AB6" s="215" t="s">
        <v>542</v>
      </c>
      <c r="AC6" s="215" t="s">
        <v>542</v>
      </c>
      <c r="AD6" s="215" t="s">
        <v>542</v>
      </c>
      <c r="AE6" s="215" t="s">
        <v>542</v>
      </c>
      <c r="AF6" s="215" t="s">
        <v>542</v>
      </c>
      <c r="AG6" s="215" t="s">
        <v>588</v>
      </c>
      <c r="AH6" s="215" t="s">
        <v>541</v>
      </c>
      <c r="AI6" s="215" t="s">
        <v>542</v>
      </c>
      <c r="AJ6" s="215" t="s">
        <v>588</v>
      </c>
      <c r="AK6" s="215" t="s">
        <v>542</v>
      </c>
      <c r="AL6" s="215" t="s">
        <v>588</v>
      </c>
      <c r="AM6" s="215" t="s">
        <v>541</v>
      </c>
      <c r="AN6" s="215" t="s">
        <v>546</v>
      </c>
      <c r="AO6" s="215" t="s">
        <v>542</v>
      </c>
      <c r="AP6" s="215" t="s">
        <v>542</v>
      </c>
      <c r="AQ6" s="215" t="s">
        <v>542</v>
      </c>
      <c r="AR6" s="215" t="s">
        <v>542</v>
      </c>
      <c r="AS6" s="215" t="s">
        <v>542</v>
      </c>
      <c r="AT6" s="215" t="s">
        <v>542</v>
      </c>
      <c r="AU6" s="215" t="s">
        <v>542</v>
      </c>
      <c r="AV6" s="215" t="s">
        <v>542</v>
      </c>
      <c r="AW6" s="215" t="s">
        <v>588</v>
      </c>
      <c r="AX6" s="215" t="s">
        <v>542</v>
      </c>
      <c r="AY6" s="215" t="s">
        <v>588</v>
      </c>
      <c r="AZ6" s="215" t="s">
        <v>542</v>
      </c>
      <c r="BA6" s="215" t="s">
        <v>542</v>
      </c>
      <c r="BB6" s="215" t="s">
        <v>542</v>
      </c>
      <c r="BC6" s="215" t="s">
        <v>542</v>
      </c>
      <c r="BD6" s="215" t="s">
        <v>588</v>
      </c>
      <c r="BE6" s="215" t="s">
        <v>542</v>
      </c>
      <c r="BF6" s="215" t="s">
        <v>542</v>
      </c>
      <c r="BG6" s="215" t="s">
        <v>588</v>
      </c>
      <c r="BH6" s="215" t="s">
        <v>542</v>
      </c>
      <c r="BI6" s="215" t="s">
        <v>542</v>
      </c>
      <c r="BJ6" s="215" t="s">
        <v>542</v>
      </c>
      <c r="BK6" s="215" t="s">
        <v>542</v>
      </c>
      <c r="BL6" s="215" t="s">
        <v>588</v>
      </c>
      <c r="BM6" s="215" t="s">
        <v>542</v>
      </c>
      <c r="BN6" s="215" t="s">
        <v>588</v>
      </c>
      <c r="BO6" s="215" t="s">
        <v>542</v>
      </c>
      <c r="BP6" s="215" t="s">
        <v>542</v>
      </c>
      <c r="BQ6" s="215" t="s">
        <v>542</v>
      </c>
      <c r="BR6" s="215" t="s">
        <v>542</v>
      </c>
      <c r="BS6" s="215" t="s">
        <v>542</v>
      </c>
      <c r="BT6" s="215" t="s">
        <v>542</v>
      </c>
      <c r="BU6" s="215" t="s">
        <v>542</v>
      </c>
      <c r="BV6" s="215" t="s">
        <v>588</v>
      </c>
      <c r="BW6" s="215" t="s">
        <v>541</v>
      </c>
      <c r="BX6" s="215" t="s">
        <v>542</v>
      </c>
      <c r="BY6" s="215" t="s">
        <v>541</v>
      </c>
      <c r="BZ6" s="215" t="s">
        <v>542</v>
      </c>
      <c r="CA6" s="215" t="s">
        <v>542</v>
      </c>
      <c r="CB6" s="215" t="s">
        <v>542</v>
      </c>
      <c r="CC6" s="215" t="s">
        <v>541</v>
      </c>
      <c r="CD6" s="215" t="s">
        <v>542</v>
      </c>
      <c r="CE6" s="215" t="s">
        <v>542</v>
      </c>
      <c r="CF6" s="215" t="s">
        <v>542</v>
      </c>
      <c r="CG6" s="215" t="s">
        <v>541</v>
      </c>
      <c r="CH6" s="215" t="s">
        <v>542</v>
      </c>
      <c r="CI6" s="215" t="s">
        <v>542</v>
      </c>
      <c r="CJ6" s="215" t="s">
        <v>542</v>
      </c>
      <c r="CK6" s="215" t="s">
        <v>542</v>
      </c>
      <c r="CL6" s="215" t="s">
        <v>542</v>
      </c>
      <c r="CM6" s="215" t="s">
        <v>542</v>
      </c>
      <c r="CN6" s="215" t="s">
        <v>541</v>
      </c>
      <c r="CO6" s="215" t="s">
        <v>541</v>
      </c>
      <c r="CP6" s="215" t="s">
        <v>542</v>
      </c>
      <c r="CQ6" s="215" t="s">
        <v>542</v>
      </c>
      <c r="CR6" s="215" t="s">
        <v>541</v>
      </c>
      <c r="CS6" s="215" t="s">
        <v>541</v>
      </c>
      <c r="CT6" s="215" t="s">
        <v>542</v>
      </c>
      <c r="CU6" s="215" t="s">
        <v>542</v>
      </c>
      <c r="CV6" s="215" t="s">
        <v>542</v>
      </c>
      <c r="CW6" s="215" t="s">
        <v>542</v>
      </c>
      <c r="CX6" s="215" t="s">
        <v>541</v>
      </c>
      <c r="CY6" s="215" t="s">
        <v>542</v>
      </c>
      <c r="CZ6" s="215" t="s">
        <v>542</v>
      </c>
      <c r="DA6" s="215" t="s">
        <v>542</v>
      </c>
      <c r="DB6" s="215" t="s">
        <v>542</v>
      </c>
      <c r="DC6" s="215" t="s">
        <v>542</v>
      </c>
      <c r="DD6" s="215" t="s">
        <v>542</v>
      </c>
      <c r="DE6" s="215" t="s">
        <v>542</v>
      </c>
      <c r="DF6" s="215" t="s">
        <v>542</v>
      </c>
      <c r="DG6" s="215" t="s">
        <v>542</v>
      </c>
      <c r="DH6" s="215" t="s">
        <v>542</v>
      </c>
      <c r="DI6" s="215" t="s">
        <v>542</v>
      </c>
      <c r="DJ6" s="215" t="s">
        <v>542</v>
      </c>
      <c r="DK6" s="215" t="s">
        <v>542</v>
      </c>
      <c r="DL6" s="215" t="s">
        <v>588</v>
      </c>
      <c r="DM6" s="215" t="s">
        <v>542</v>
      </c>
      <c r="DN6" s="215" t="s">
        <v>542</v>
      </c>
      <c r="DO6" s="215" t="s">
        <v>542</v>
      </c>
      <c r="DP6" s="215" t="s">
        <v>542</v>
      </c>
      <c r="DQ6" s="215" t="s">
        <v>542</v>
      </c>
      <c r="DR6" s="215" t="s">
        <v>542</v>
      </c>
      <c r="DS6" s="215" t="s">
        <v>588</v>
      </c>
      <c r="DT6" s="215" t="s">
        <v>542</v>
      </c>
      <c r="DU6" s="215" t="s">
        <v>542</v>
      </c>
      <c r="DV6" s="215" t="s">
        <v>542</v>
      </c>
      <c r="DW6" s="215" t="s">
        <v>542</v>
      </c>
      <c r="DX6" s="215" t="s">
        <v>542</v>
      </c>
      <c r="DY6" s="215" t="s">
        <v>588</v>
      </c>
      <c r="DZ6" s="215" t="s">
        <v>542</v>
      </c>
      <c r="EA6" s="215" t="s">
        <v>542</v>
      </c>
      <c r="EB6" s="215" t="s">
        <v>542</v>
      </c>
      <c r="EC6" s="215" t="s">
        <v>542</v>
      </c>
      <c r="ED6" s="215" t="s">
        <v>542</v>
      </c>
      <c r="EE6" s="215" t="s">
        <v>588</v>
      </c>
      <c r="EF6" s="215" t="s">
        <v>542</v>
      </c>
      <c r="EG6" s="215" t="s">
        <v>542</v>
      </c>
      <c r="EH6" s="215" t="s">
        <v>542</v>
      </c>
      <c r="EI6" s="215" t="s">
        <v>542</v>
      </c>
      <c r="EJ6" s="215" t="s">
        <v>542</v>
      </c>
      <c r="EK6" s="215" t="s">
        <v>588</v>
      </c>
      <c r="EL6" s="215" t="s">
        <v>542</v>
      </c>
      <c r="EM6" s="215" t="s">
        <v>542</v>
      </c>
      <c r="EN6" s="215" t="s">
        <v>542</v>
      </c>
      <c r="EO6" s="215" t="s">
        <v>542</v>
      </c>
      <c r="EP6" s="215" t="s">
        <v>542</v>
      </c>
      <c r="EQ6" s="215" t="s">
        <v>588</v>
      </c>
      <c r="ER6" s="215" t="s">
        <v>542</v>
      </c>
      <c r="ES6" s="215" t="s">
        <v>588</v>
      </c>
      <c r="ET6" s="215" t="s">
        <v>542</v>
      </c>
      <c r="EU6" s="215" t="s">
        <v>542</v>
      </c>
      <c r="EV6" s="215" t="s">
        <v>542</v>
      </c>
      <c r="EW6" s="215" t="s">
        <v>542</v>
      </c>
      <c r="EX6" s="215" t="s">
        <v>542</v>
      </c>
      <c r="EY6" s="215" t="s">
        <v>542</v>
      </c>
      <c r="EZ6" s="215" t="s">
        <v>588</v>
      </c>
      <c r="FA6" s="215" t="s">
        <v>542</v>
      </c>
      <c r="FB6" s="215" t="s">
        <v>542</v>
      </c>
      <c r="FC6" s="215" t="s">
        <v>542</v>
      </c>
      <c r="FD6" s="215" t="s">
        <v>542</v>
      </c>
      <c r="FE6" s="215" t="s">
        <v>542</v>
      </c>
      <c r="FF6" s="215" t="s">
        <v>588</v>
      </c>
      <c r="FG6" s="215" t="s">
        <v>542</v>
      </c>
      <c r="FH6" s="215" t="s">
        <v>542</v>
      </c>
      <c r="FI6" s="215" t="s">
        <v>542</v>
      </c>
      <c r="FJ6" s="215" t="s">
        <v>542</v>
      </c>
      <c r="FK6" s="215" t="s">
        <v>542</v>
      </c>
      <c r="FL6" s="215" t="s">
        <v>588</v>
      </c>
      <c r="FM6" s="215" t="s">
        <v>542</v>
      </c>
      <c r="FN6" s="215" t="s">
        <v>542</v>
      </c>
      <c r="FO6" s="215" t="s">
        <v>542</v>
      </c>
      <c r="FP6" s="215" t="s">
        <v>542</v>
      </c>
      <c r="FQ6" s="215" t="s">
        <v>542</v>
      </c>
      <c r="FR6" s="215" t="s">
        <v>588</v>
      </c>
      <c r="FS6" s="215" t="s">
        <v>542</v>
      </c>
      <c r="FT6" s="215" t="s">
        <v>542</v>
      </c>
      <c r="FU6" s="215" t="s">
        <v>542</v>
      </c>
      <c r="FV6" s="215" t="s">
        <v>542</v>
      </c>
      <c r="FW6" s="215" t="s">
        <v>542</v>
      </c>
      <c r="FX6" s="215" t="s">
        <v>588</v>
      </c>
      <c r="FY6" s="215" t="s">
        <v>542</v>
      </c>
      <c r="FZ6" s="215" t="s">
        <v>588</v>
      </c>
      <c r="GA6" s="215" t="s">
        <v>542</v>
      </c>
      <c r="GB6" s="215" t="s">
        <v>542</v>
      </c>
      <c r="GC6" s="215" t="s">
        <v>542</v>
      </c>
      <c r="GD6" s="215" t="s">
        <v>542</v>
      </c>
      <c r="GE6" s="215" t="s">
        <v>542</v>
      </c>
      <c r="GF6" s="215" t="s">
        <v>542</v>
      </c>
      <c r="GG6" s="215" t="s">
        <v>542</v>
      </c>
      <c r="GH6" s="215" t="s">
        <v>588</v>
      </c>
      <c r="GI6" s="215" t="s">
        <v>542</v>
      </c>
      <c r="GJ6" s="215" t="s">
        <v>588</v>
      </c>
    </row>
    <row r="7" spans="1:192" x14ac:dyDescent="0.2">
      <c r="A7" s="216" t="s">
        <v>548</v>
      </c>
      <c r="B7" s="216" t="s">
        <v>588</v>
      </c>
      <c r="C7" s="216" t="s">
        <v>541</v>
      </c>
      <c r="D7" s="216" t="s">
        <v>542</v>
      </c>
      <c r="E7" s="216" t="s">
        <v>542</v>
      </c>
      <c r="F7" s="216" t="s">
        <v>542</v>
      </c>
      <c r="G7" s="216" t="s">
        <v>542</v>
      </c>
      <c r="H7" s="216" t="s">
        <v>542</v>
      </c>
      <c r="I7" s="215" t="s">
        <v>588</v>
      </c>
      <c r="J7" s="216" t="s">
        <v>541</v>
      </c>
      <c r="K7" s="216" t="s">
        <v>541</v>
      </c>
      <c r="L7" s="216" t="s">
        <v>541</v>
      </c>
      <c r="M7" s="216" t="s">
        <v>542</v>
      </c>
      <c r="N7" s="216" t="s">
        <v>542</v>
      </c>
      <c r="O7" s="216" t="s">
        <v>542</v>
      </c>
      <c r="P7" s="216" t="s">
        <v>542</v>
      </c>
      <c r="Q7" s="216" t="s">
        <v>542</v>
      </c>
      <c r="R7" s="216" t="s">
        <v>542</v>
      </c>
      <c r="S7" s="215" t="s">
        <v>588</v>
      </c>
      <c r="T7" s="216" t="s">
        <v>542</v>
      </c>
      <c r="U7" s="215" t="s">
        <v>588</v>
      </c>
      <c r="V7" s="216" t="s">
        <v>542</v>
      </c>
      <c r="W7" s="216" t="s">
        <v>542</v>
      </c>
      <c r="X7" s="216" t="s">
        <v>542</v>
      </c>
      <c r="Y7" s="216" t="s">
        <v>542</v>
      </c>
      <c r="Z7" s="216" t="s">
        <v>542</v>
      </c>
      <c r="AA7" s="216" t="s">
        <v>542</v>
      </c>
      <c r="AB7" s="216" t="s">
        <v>542</v>
      </c>
      <c r="AC7" s="216" t="s">
        <v>542</v>
      </c>
      <c r="AD7" s="216" t="s">
        <v>542</v>
      </c>
      <c r="AE7" s="216" t="s">
        <v>542</v>
      </c>
      <c r="AF7" s="216" t="s">
        <v>542</v>
      </c>
      <c r="AG7" s="215" t="s">
        <v>588</v>
      </c>
      <c r="AH7" s="216" t="s">
        <v>542</v>
      </c>
      <c r="AI7" s="216" t="s">
        <v>542</v>
      </c>
      <c r="AJ7" s="215" t="s">
        <v>588</v>
      </c>
      <c r="AK7" s="215" t="s">
        <v>542</v>
      </c>
      <c r="AL7" s="215" t="s">
        <v>588</v>
      </c>
      <c r="AM7" s="216" t="s">
        <v>542</v>
      </c>
      <c r="AN7" s="216" t="s">
        <v>588</v>
      </c>
      <c r="AO7" s="216" t="s">
        <v>541</v>
      </c>
      <c r="AP7" s="216" t="s">
        <v>542</v>
      </c>
      <c r="AQ7" s="216" t="s">
        <v>541</v>
      </c>
      <c r="AR7" s="216" t="s">
        <v>542</v>
      </c>
      <c r="AS7" s="216" t="s">
        <v>542</v>
      </c>
      <c r="AT7" s="216" t="s">
        <v>542</v>
      </c>
      <c r="AU7" s="216" t="s">
        <v>542</v>
      </c>
      <c r="AV7" s="216" t="s">
        <v>542</v>
      </c>
      <c r="AW7" s="215" t="s">
        <v>588</v>
      </c>
      <c r="AX7" s="216" t="s">
        <v>542</v>
      </c>
      <c r="AY7" s="215" t="s">
        <v>588</v>
      </c>
      <c r="AZ7" s="216" t="s">
        <v>542</v>
      </c>
      <c r="BA7" s="216" t="s">
        <v>542</v>
      </c>
      <c r="BB7" s="216" t="s">
        <v>542</v>
      </c>
      <c r="BC7" s="216" t="s">
        <v>542</v>
      </c>
      <c r="BD7" s="215" t="s">
        <v>588</v>
      </c>
      <c r="BE7" s="216" t="s">
        <v>542</v>
      </c>
      <c r="BF7" s="216" t="s">
        <v>542</v>
      </c>
      <c r="BG7" s="215" t="s">
        <v>588</v>
      </c>
      <c r="BH7" s="216" t="s">
        <v>542</v>
      </c>
      <c r="BI7" s="216" t="s">
        <v>542</v>
      </c>
      <c r="BJ7" s="216" t="s">
        <v>542</v>
      </c>
      <c r="BK7" s="216" t="s">
        <v>542</v>
      </c>
      <c r="BL7" s="215" t="s">
        <v>588</v>
      </c>
      <c r="BM7" s="216" t="s">
        <v>542</v>
      </c>
      <c r="BN7" s="215" t="s">
        <v>588</v>
      </c>
      <c r="BO7" s="216" t="s">
        <v>542</v>
      </c>
      <c r="BP7" s="216" t="s">
        <v>542</v>
      </c>
      <c r="BQ7" s="216" t="s">
        <v>542</v>
      </c>
      <c r="BR7" s="216" t="s">
        <v>542</v>
      </c>
      <c r="BS7" s="216" t="s">
        <v>542</v>
      </c>
      <c r="BT7" s="216" t="s">
        <v>542</v>
      </c>
      <c r="BU7" s="216" t="s">
        <v>542</v>
      </c>
      <c r="BV7" s="215" t="s">
        <v>588</v>
      </c>
      <c r="BW7" s="216" t="s">
        <v>542</v>
      </c>
      <c r="BX7" s="216" t="s">
        <v>542</v>
      </c>
      <c r="BY7" s="216" t="s">
        <v>542</v>
      </c>
      <c r="BZ7" s="216" t="s">
        <v>542</v>
      </c>
      <c r="CA7" s="216" t="s">
        <v>542</v>
      </c>
      <c r="CB7" s="216" t="s">
        <v>542</v>
      </c>
      <c r="CC7" s="216" t="s">
        <v>542</v>
      </c>
      <c r="CD7" s="216" t="s">
        <v>542</v>
      </c>
      <c r="CE7" s="216" t="s">
        <v>542</v>
      </c>
      <c r="CF7" s="216" t="s">
        <v>542</v>
      </c>
      <c r="CG7" s="216" t="s">
        <v>542</v>
      </c>
      <c r="CH7" s="216" t="s">
        <v>542</v>
      </c>
      <c r="CI7" s="216" t="s">
        <v>542</v>
      </c>
      <c r="CJ7" s="216" t="s">
        <v>542</v>
      </c>
      <c r="CK7" s="216" t="s">
        <v>542</v>
      </c>
      <c r="CL7" s="216" t="s">
        <v>542</v>
      </c>
      <c r="CM7" s="216" t="s">
        <v>542</v>
      </c>
      <c r="CN7" s="216" t="s">
        <v>542</v>
      </c>
      <c r="CO7" s="216" t="s">
        <v>542</v>
      </c>
      <c r="CP7" s="216" t="s">
        <v>542</v>
      </c>
      <c r="CQ7" s="216" t="s">
        <v>542</v>
      </c>
      <c r="CR7" s="216" t="s">
        <v>542</v>
      </c>
      <c r="CS7" s="216" t="s">
        <v>542</v>
      </c>
      <c r="CT7" s="216" t="s">
        <v>542</v>
      </c>
      <c r="CU7" s="216" t="s">
        <v>542</v>
      </c>
      <c r="CV7" s="216" t="s">
        <v>542</v>
      </c>
      <c r="CW7" s="216" t="s">
        <v>542</v>
      </c>
      <c r="CX7" s="216" t="s">
        <v>542</v>
      </c>
      <c r="CY7" s="216" t="s">
        <v>542</v>
      </c>
      <c r="CZ7" s="216" t="s">
        <v>542</v>
      </c>
      <c r="DA7" s="216" t="s">
        <v>542</v>
      </c>
      <c r="DB7" s="216" t="s">
        <v>542</v>
      </c>
      <c r="DC7" s="216" t="s">
        <v>542</v>
      </c>
      <c r="DD7" s="216" t="s">
        <v>542</v>
      </c>
      <c r="DE7" s="216" t="s">
        <v>542</v>
      </c>
      <c r="DF7" s="216" t="s">
        <v>542</v>
      </c>
      <c r="DG7" s="216" t="s">
        <v>542</v>
      </c>
      <c r="DH7" s="216" t="s">
        <v>542</v>
      </c>
      <c r="DI7" s="216" t="s">
        <v>542</v>
      </c>
      <c r="DJ7" s="216" t="s">
        <v>542</v>
      </c>
      <c r="DK7" s="216" t="s">
        <v>542</v>
      </c>
      <c r="DL7" s="215" t="s">
        <v>588</v>
      </c>
      <c r="DM7" s="216" t="s">
        <v>542</v>
      </c>
      <c r="DN7" s="216" t="s">
        <v>542</v>
      </c>
      <c r="DO7" s="216" t="s">
        <v>542</v>
      </c>
      <c r="DP7" s="216" t="s">
        <v>542</v>
      </c>
      <c r="DQ7" s="216" t="s">
        <v>542</v>
      </c>
      <c r="DR7" s="216" t="s">
        <v>542</v>
      </c>
      <c r="DS7" s="215" t="s">
        <v>588</v>
      </c>
      <c r="DT7" s="216" t="s">
        <v>542</v>
      </c>
      <c r="DU7" s="216" t="s">
        <v>542</v>
      </c>
      <c r="DV7" s="216" t="s">
        <v>542</v>
      </c>
      <c r="DW7" s="216" t="s">
        <v>542</v>
      </c>
      <c r="DX7" s="216" t="s">
        <v>542</v>
      </c>
      <c r="DY7" s="215" t="s">
        <v>588</v>
      </c>
      <c r="DZ7" s="216" t="s">
        <v>542</v>
      </c>
      <c r="EA7" s="216" t="s">
        <v>542</v>
      </c>
      <c r="EB7" s="216" t="s">
        <v>542</v>
      </c>
      <c r="EC7" s="216" t="s">
        <v>542</v>
      </c>
      <c r="ED7" s="216" t="s">
        <v>542</v>
      </c>
      <c r="EE7" s="215" t="s">
        <v>588</v>
      </c>
      <c r="EF7" s="216" t="s">
        <v>542</v>
      </c>
      <c r="EG7" s="216" t="s">
        <v>542</v>
      </c>
      <c r="EH7" s="216" t="s">
        <v>542</v>
      </c>
      <c r="EI7" s="216" t="s">
        <v>542</v>
      </c>
      <c r="EJ7" s="216" t="s">
        <v>542</v>
      </c>
      <c r="EK7" s="215" t="s">
        <v>588</v>
      </c>
      <c r="EL7" s="216" t="s">
        <v>542</v>
      </c>
      <c r="EM7" s="216" t="s">
        <v>542</v>
      </c>
      <c r="EN7" s="216" t="s">
        <v>542</v>
      </c>
      <c r="EO7" s="216" t="s">
        <v>542</v>
      </c>
      <c r="EP7" s="216" t="s">
        <v>542</v>
      </c>
      <c r="EQ7" s="215" t="s">
        <v>588</v>
      </c>
      <c r="ER7" s="216" t="s">
        <v>542</v>
      </c>
      <c r="ES7" s="215" t="s">
        <v>588</v>
      </c>
      <c r="ET7" s="216" t="s">
        <v>542</v>
      </c>
      <c r="EU7" s="216" t="s">
        <v>542</v>
      </c>
      <c r="EV7" s="216" t="s">
        <v>542</v>
      </c>
      <c r="EW7" s="216" t="s">
        <v>542</v>
      </c>
      <c r="EX7" s="216" t="s">
        <v>542</v>
      </c>
      <c r="EY7" s="216" t="s">
        <v>542</v>
      </c>
      <c r="EZ7" s="215" t="s">
        <v>588</v>
      </c>
      <c r="FA7" s="216" t="s">
        <v>542</v>
      </c>
      <c r="FB7" s="216" t="s">
        <v>542</v>
      </c>
      <c r="FC7" s="216" t="s">
        <v>542</v>
      </c>
      <c r="FD7" s="216" t="s">
        <v>542</v>
      </c>
      <c r="FE7" s="216" t="s">
        <v>542</v>
      </c>
      <c r="FF7" s="215" t="s">
        <v>588</v>
      </c>
      <c r="FG7" s="216" t="s">
        <v>542</v>
      </c>
      <c r="FH7" s="216" t="s">
        <v>542</v>
      </c>
      <c r="FI7" s="216" t="s">
        <v>542</v>
      </c>
      <c r="FJ7" s="216" t="s">
        <v>542</v>
      </c>
      <c r="FK7" s="216" t="s">
        <v>542</v>
      </c>
      <c r="FL7" s="215" t="s">
        <v>588</v>
      </c>
      <c r="FM7" s="216" t="s">
        <v>542</v>
      </c>
      <c r="FN7" s="216" t="s">
        <v>542</v>
      </c>
      <c r="FO7" s="216" t="s">
        <v>542</v>
      </c>
      <c r="FP7" s="216" t="s">
        <v>542</v>
      </c>
      <c r="FQ7" s="216" t="s">
        <v>542</v>
      </c>
      <c r="FR7" s="215" t="s">
        <v>588</v>
      </c>
      <c r="FS7" s="216" t="s">
        <v>542</v>
      </c>
      <c r="FT7" s="216" t="s">
        <v>542</v>
      </c>
      <c r="FU7" s="216" t="s">
        <v>542</v>
      </c>
      <c r="FV7" s="216" t="s">
        <v>542</v>
      </c>
      <c r="FW7" s="216" t="s">
        <v>542</v>
      </c>
      <c r="FX7" s="215" t="s">
        <v>588</v>
      </c>
      <c r="FY7" s="216" t="s">
        <v>542</v>
      </c>
      <c r="FZ7" s="215" t="s">
        <v>588</v>
      </c>
      <c r="GA7" s="216" t="s">
        <v>542</v>
      </c>
      <c r="GB7" s="216" t="s">
        <v>542</v>
      </c>
      <c r="GC7" s="216" t="s">
        <v>542</v>
      </c>
      <c r="GD7" s="216" t="s">
        <v>542</v>
      </c>
      <c r="GE7" s="216" t="s">
        <v>542</v>
      </c>
      <c r="GF7" s="216" t="s">
        <v>542</v>
      </c>
      <c r="GG7" s="216" t="s">
        <v>542</v>
      </c>
      <c r="GH7" s="215" t="s">
        <v>588</v>
      </c>
      <c r="GI7" s="216" t="s">
        <v>542</v>
      </c>
      <c r="GJ7" s="215" t="s">
        <v>588</v>
      </c>
    </row>
    <row r="8" spans="1:192" x14ac:dyDescent="0.2">
      <c r="A8" s="215" t="s">
        <v>550</v>
      </c>
      <c r="B8" s="215" t="s">
        <v>588</v>
      </c>
      <c r="C8" s="215" t="s">
        <v>541</v>
      </c>
      <c r="D8" s="215" t="s">
        <v>542</v>
      </c>
      <c r="E8" s="215" t="s">
        <v>542</v>
      </c>
      <c r="F8" s="215" t="s">
        <v>542</v>
      </c>
      <c r="G8" s="215" t="s">
        <v>542</v>
      </c>
      <c r="H8" s="215" t="s">
        <v>542</v>
      </c>
      <c r="I8" s="215" t="s">
        <v>588</v>
      </c>
      <c r="J8" s="215" t="s">
        <v>541</v>
      </c>
      <c r="K8" s="215" t="s">
        <v>541</v>
      </c>
      <c r="L8" s="215" t="s">
        <v>542</v>
      </c>
      <c r="M8" s="215" t="s">
        <v>542</v>
      </c>
      <c r="N8" s="215" t="s">
        <v>542</v>
      </c>
      <c r="O8" s="215" t="s">
        <v>542</v>
      </c>
      <c r="P8" s="215" t="s">
        <v>542</v>
      </c>
      <c r="Q8" s="215" t="s">
        <v>542</v>
      </c>
      <c r="R8" s="215" t="s">
        <v>542</v>
      </c>
      <c r="S8" s="215" t="s">
        <v>588</v>
      </c>
      <c r="T8" s="215" t="s">
        <v>542</v>
      </c>
      <c r="U8" s="215" t="s">
        <v>588</v>
      </c>
      <c r="V8" s="215" t="s">
        <v>541</v>
      </c>
      <c r="W8" s="215" t="s">
        <v>542</v>
      </c>
      <c r="X8" s="215" t="s">
        <v>542</v>
      </c>
      <c r="Y8" s="215" t="s">
        <v>542</v>
      </c>
      <c r="Z8" s="215" t="s">
        <v>542</v>
      </c>
      <c r="AA8" s="215" t="s">
        <v>542</v>
      </c>
      <c r="AB8" s="215" t="s">
        <v>542</v>
      </c>
      <c r="AC8" s="215" t="s">
        <v>542</v>
      </c>
      <c r="AD8" s="215" t="s">
        <v>542</v>
      </c>
      <c r="AE8" s="215" t="s">
        <v>542</v>
      </c>
      <c r="AF8" s="215" t="s">
        <v>542</v>
      </c>
      <c r="AG8" s="215" t="s">
        <v>588</v>
      </c>
      <c r="AH8" s="215" t="s">
        <v>542</v>
      </c>
      <c r="AI8" s="215" t="s">
        <v>542</v>
      </c>
      <c r="AJ8" s="215" t="s">
        <v>588</v>
      </c>
      <c r="AK8" s="215" t="s">
        <v>542</v>
      </c>
      <c r="AL8" s="215" t="s">
        <v>588</v>
      </c>
      <c r="AM8" s="215" t="s">
        <v>541</v>
      </c>
      <c r="AN8" s="215" t="s">
        <v>593</v>
      </c>
      <c r="AO8" s="215" t="s">
        <v>541</v>
      </c>
      <c r="AP8" s="215" t="s">
        <v>542</v>
      </c>
      <c r="AQ8" s="215" t="s">
        <v>541</v>
      </c>
      <c r="AR8" s="215" t="s">
        <v>542</v>
      </c>
      <c r="AS8" s="215" t="s">
        <v>542</v>
      </c>
      <c r="AT8" s="215" t="s">
        <v>542</v>
      </c>
      <c r="AU8" s="215" t="s">
        <v>542</v>
      </c>
      <c r="AV8" s="215" t="s">
        <v>542</v>
      </c>
      <c r="AW8" s="215" t="s">
        <v>588</v>
      </c>
      <c r="AX8" s="215" t="s">
        <v>542</v>
      </c>
      <c r="AY8" s="215" t="s">
        <v>588</v>
      </c>
      <c r="AZ8" s="215" t="s">
        <v>542</v>
      </c>
      <c r="BA8" s="215" t="s">
        <v>542</v>
      </c>
      <c r="BB8" s="215" t="s">
        <v>542</v>
      </c>
      <c r="BC8" s="215" t="s">
        <v>542</v>
      </c>
      <c r="BD8" s="215" t="s">
        <v>588</v>
      </c>
      <c r="BE8" s="215" t="s">
        <v>542</v>
      </c>
      <c r="BF8" s="215" t="s">
        <v>542</v>
      </c>
      <c r="BG8" s="215" t="s">
        <v>588</v>
      </c>
      <c r="BH8" s="215" t="s">
        <v>542</v>
      </c>
      <c r="BI8" s="215" t="s">
        <v>542</v>
      </c>
      <c r="BJ8" s="215" t="s">
        <v>542</v>
      </c>
      <c r="BK8" s="215" t="s">
        <v>542</v>
      </c>
      <c r="BL8" s="215" t="s">
        <v>588</v>
      </c>
      <c r="BM8" s="215" t="s">
        <v>542</v>
      </c>
      <c r="BN8" s="215" t="s">
        <v>588</v>
      </c>
      <c r="BO8" s="215" t="s">
        <v>542</v>
      </c>
      <c r="BP8" s="215" t="s">
        <v>542</v>
      </c>
      <c r="BQ8" s="215" t="s">
        <v>542</v>
      </c>
      <c r="BR8" s="215" t="s">
        <v>542</v>
      </c>
      <c r="BS8" s="215" t="s">
        <v>542</v>
      </c>
      <c r="BT8" s="215" t="s">
        <v>542</v>
      </c>
      <c r="BU8" s="215" t="s">
        <v>542</v>
      </c>
      <c r="BV8" s="215" t="s">
        <v>588</v>
      </c>
      <c r="BW8" s="215" t="s">
        <v>542</v>
      </c>
      <c r="BX8" s="215" t="s">
        <v>542</v>
      </c>
      <c r="BY8" s="215" t="s">
        <v>542</v>
      </c>
      <c r="BZ8" s="215" t="s">
        <v>542</v>
      </c>
      <c r="CA8" s="215" t="s">
        <v>542</v>
      </c>
      <c r="CB8" s="215" t="s">
        <v>542</v>
      </c>
      <c r="CC8" s="215" t="s">
        <v>542</v>
      </c>
      <c r="CD8" s="215" t="s">
        <v>542</v>
      </c>
      <c r="CE8" s="215" t="s">
        <v>542</v>
      </c>
      <c r="CF8" s="215" t="s">
        <v>542</v>
      </c>
      <c r="CG8" s="215" t="s">
        <v>542</v>
      </c>
      <c r="CH8" s="215" t="s">
        <v>541</v>
      </c>
      <c r="CI8" s="215" t="s">
        <v>541</v>
      </c>
      <c r="CJ8" s="215" t="s">
        <v>542</v>
      </c>
      <c r="CK8" s="215" t="s">
        <v>542</v>
      </c>
      <c r="CL8" s="215" t="s">
        <v>542</v>
      </c>
      <c r="CM8" s="215" t="s">
        <v>542</v>
      </c>
      <c r="CN8" s="215" t="s">
        <v>542</v>
      </c>
      <c r="CO8" s="215" t="s">
        <v>542</v>
      </c>
      <c r="CP8" s="215" t="s">
        <v>542</v>
      </c>
      <c r="CQ8" s="215" t="s">
        <v>542</v>
      </c>
      <c r="CR8" s="215" t="s">
        <v>542</v>
      </c>
      <c r="CS8" s="215" t="s">
        <v>542</v>
      </c>
      <c r="CT8" s="215" t="s">
        <v>542</v>
      </c>
      <c r="CU8" s="215" t="s">
        <v>542</v>
      </c>
      <c r="CV8" s="215" t="s">
        <v>542</v>
      </c>
      <c r="CW8" s="215" t="s">
        <v>542</v>
      </c>
      <c r="CX8" s="215" t="s">
        <v>542</v>
      </c>
      <c r="CY8" s="215" t="s">
        <v>542</v>
      </c>
      <c r="CZ8" s="215" t="s">
        <v>542</v>
      </c>
      <c r="DA8" s="215" t="s">
        <v>542</v>
      </c>
      <c r="DB8" s="215" t="s">
        <v>542</v>
      </c>
      <c r="DC8" s="215" t="s">
        <v>542</v>
      </c>
      <c r="DD8" s="215" t="s">
        <v>542</v>
      </c>
      <c r="DE8" s="215" t="s">
        <v>542</v>
      </c>
      <c r="DF8" s="215" t="s">
        <v>542</v>
      </c>
      <c r="DG8" s="215" t="s">
        <v>542</v>
      </c>
      <c r="DH8" s="215" t="s">
        <v>542</v>
      </c>
      <c r="DI8" s="215" t="s">
        <v>542</v>
      </c>
      <c r="DJ8" s="215" t="s">
        <v>542</v>
      </c>
      <c r="DK8" s="215" t="s">
        <v>542</v>
      </c>
      <c r="DL8" s="215" t="s">
        <v>588</v>
      </c>
      <c r="DM8" s="215" t="s">
        <v>542</v>
      </c>
      <c r="DN8" s="215" t="s">
        <v>542</v>
      </c>
      <c r="DO8" s="215" t="s">
        <v>542</v>
      </c>
      <c r="DP8" s="215" t="s">
        <v>542</v>
      </c>
      <c r="DQ8" s="215" t="s">
        <v>542</v>
      </c>
      <c r="DR8" s="215" t="s">
        <v>542</v>
      </c>
      <c r="DS8" s="215" t="s">
        <v>588</v>
      </c>
      <c r="DT8" s="215" t="s">
        <v>542</v>
      </c>
      <c r="DU8" s="215" t="s">
        <v>542</v>
      </c>
      <c r="DV8" s="215" t="s">
        <v>542</v>
      </c>
      <c r="DW8" s="215" t="s">
        <v>542</v>
      </c>
      <c r="DX8" s="215" t="s">
        <v>542</v>
      </c>
      <c r="DY8" s="215" t="s">
        <v>588</v>
      </c>
      <c r="DZ8" s="215" t="s">
        <v>542</v>
      </c>
      <c r="EA8" s="215" t="s">
        <v>542</v>
      </c>
      <c r="EB8" s="215" t="s">
        <v>542</v>
      </c>
      <c r="EC8" s="215" t="s">
        <v>542</v>
      </c>
      <c r="ED8" s="215" t="s">
        <v>542</v>
      </c>
      <c r="EE8" s="215" t="s">
        <v>588</v>
      </c>
      <c r="EF8" s="215" t="s">
        <v>542</v>
      </c>
      <c r="EG8" s="215" t="s">
        <v>542</v>
      </c>
      <c r="EH8" s="215" t="s">
        <v>542</v>
      </c>
      <c r="EI8" s="215" t="s">
        <v>542</v>
      </c>
      <c r="EJ8" s="215" t="s">
        <v>542</v>
      </c>
      <c r="EK8" s="215" t="s">
        <v>588</v>
      </c>
      <c r="EL8" s="215" t="s">
        <v>542</v>
      </c>
      <c r="EM8" s="215" t="s">
        <v>542</v>
      </c>
      <c r="EN8" s="215" t="s">
        <v>542</v>
      </c>
      <c r="EO8" s="215" t="s">
        <v>542</v>
      </c>
      <c r="EP8" s="215" t="s">
        <v>542</v>
      </c>
      <c r="EQ8" s="215" t="s">
        <v>588</v>
      </c>
      <c r="ER8" s="215" t="s">
        <v>542</v>
      </c>
      <c r="ES8" s="215" t="s">
        <v>588</v>
      </c>
      <c r="ET8" s="215" t="s">
        <v>542</v>
      </c>
      <c r="EU8" s="215" t="s">
        <v>542</v>
      </c>
      <c r="EV8" s="215" t="s">
        <v>542</v>
      </c>
      <c r="EW8" s="215" t="s">
        <v>542</v>
      </c>
      <c r="EX8" s="215" t="s">
        <v>542</v>
      </c>
      <c r="EY8" s="215" t="s">
        <v>542</v>
      </c>
      <c r="EZ8" s="215" t="s">
        <v>588</v>
      </c>
      <c r="FA8" s="215" t="s">
        <v>542</v>
      </c>
      <c r="FB8" s="215" t="s">
        <v>542</v>
      </c>
      <c r="FC8" s="215" t="s">
        <v>542</v>
      </c>
      <c r="FD8" s="215" t="s">
        <v>542</v>
      </c>
      <c r="FE8" s="215" t="s">
        <v>542</v>
      </c>
      <c r="FF8" s="215" t="s">
        <v>588</v>
      </c>
      <c r="FG8" s="215" t="s">
        <v>542</v>
      </c>
      <c r="FH8" s="215" t="s">
        <v>542</v>
      </c>
      <c r="FI8" s="215" t="s">
        <v>542</v>
      </c>
      <c r="FJ8" s="215" t="s">
        <v>542</v>
      </c>
      <c r="FK8" s="215" t="s">
        <v>542</v>
      </c>
      <c r="FL8" s="215" t="s">
        <v>588</v>
      </c>
      <c r="FM8" s="215" t="s">
        <v>542</v>
      </c>
      <c r="FN8" s="215" t="s">
        <v>542</v>
      </c>
      <c r="FO8" s="215" t="s">
        <v>542</v>
      </c>
      <c r="FP8" s="215" t="s">
        <v>542</v>
      </c>
      <c r="FQ8" s="215" t="s">
        <v>542</v>
      </c>
      <c r="FR8" s="215" t="s">
        <v>588</v>
      </c>
      <c r="FS8" s="215" t="s">
        <v>542</v>
      </c>
      <c r="FT8" s="215" t="s">
        <v>542</v>
      </c>
      <c r="FU8" s="215" t="s">
        <v>542</v>
      </c>
      <c r="FV8" s="215" t="s">
        <v>542</v>
      </c>
      <c r="FW8" s="215" t="s">
        <v>542</v>
      </c>
      <c r="FX8" s="215" t="s">
        <v>588</v>
      </c>
      <c r="FY8" s="215" t="s">
        <v>542</v>
      </c>
      <c r="FZ8" s="215" t="s">
        <v>588</v>
      </c>
      <c r="GA8" s="215" t="s">
        <v>542</v>
      </c>
      <c r="GB8" s="215" t="s">
        <v>542</v>
      </c>
      <c r="GC8" s="215" t="s">
        <v>542</v>
      </c>
      <c r="GD8" s="215" t="s">
        <v>542</v>
      </c>
      <c r="GE8" s="215" t="s">
        <v>542</v>
      </c>
      <c r="GF8" s="215" t="s">
        <v>542</v>
      </c>
      <c r="GG8" s="215" t="s">
        <v>542</v>
      </c>
      <c r="GH8" s="215" t="s">
        <v>588</v>
      </c>
      <c r="GI8" s="215" t="s">
        <v>542</v>
      </c>
      <c r="GJ8" s="215" t="s">
        <v>588</v>
      </c>
    </row>
    <row r="9" spans="1:192" x14ac:dyDescent="0.2">
      <c r="A9" s="215" t="s">
        <v>552</v>
      </c>
      <c r="B9" s="215" t="s">
        <v>588</v>
      </c>
      <c r="C9" s="215" t="s">
        <v>541</v>
      </c>
      <c r="D9" s="215" t="s">
        <v>542</v>
      </c>
      <c r="E9" s="215" t="s">
        <v>542</v>
      </c>
      <c r="F9" s="215" t="s">
        <v>542</v>
      </c>
      <c r="G9" s="215" t="s">
        <v>542</v>
      </c>
      <c r="H9" s="215" t="s">
        <v>542</v>
      </c>
      <c r="I9" s="215" t="s">
        <v>588</v>
      </c>
      <c r="J9" s="215" t="s">
        <v>541</v>
      </c>
      <c r="K9" s="215" t="s">
        <v>541</v>
      </c>
      <c r="L9" s="215" t="s">
        <v>542</v>
      </c>
      <c r="M9" s="215" t="s">
        <v>542</v>
      </c>
      <c r="N9" s="215" t="s">
        <v>542</v>
      </c>
      <c r="O9" s="215" t="s">
        <v>542</v>
      </c>
      <c r="P9" s="215" t="s">
        <v>542</v>
      </c>
      <c r="Q9" s="215" t="s">
        <v>542</v>
      </c>
      <c r="R9" s="215" t="s">
        <v>542</v>
      </c>
      <c r="S9" s="215" t="s">
        <v>588</v>
      </c>
      <c r="T9" s="215" t="s">
        <v>542</v>
      </c>
      <c r="U9" s="215" t="s">
        <v>588</v>
      </c>
      <c r="V9" s="215" t="s">
        <v>542</v>
      </c>
      <c r="W9" s="215" t="s">
        <v>542</v>
      </c>
      <c r="X9" s="215" t="s">
        <v>542</v>
      </c>
      <c r="Y9" s="215" t="s">
        <v>542</v>
      </c>
      <c r="Z9" s="215" t="s">
        <v>542</v>
      </c>
      <c r="AA9" s="215" t="s">
        <v>542</v>
      </c>
      <c r="AB9" s="215" t="s">
        <v>542</v>
      </c>
      <c r="AC9" s="215" t="s">
        <v>542</v>
      </c>
      <c r="AD9" s="215" t="s">
        <v>542</v>
      </c>
      <c r="AE9" s="215" t="s">
        <v>542</v>
      </c>
      <c r="AF9" s="215" t="s">
        <v>542</v>
      </c>
      <c r="AG9" s="215" t="s">
        <v>588</v>
      </c>
      <c r="AH9" s="215" t="s">
        <v>542</v>
      </c>
      <c r="AI9" s="215" t="s">
        <v>542</v>
      </c>
      <c r="AJ9" s="215" t="s">
        <v>588</v>
      </c>
      <c r="AK9" s="215" t="s">
        <v>542</v>
      </c>
      <c r="AL9" s="215" t="s">
        <v>588</v>
      </c>
      <c r="AM9" s="215" t="s">
        <v>542</v>
      </c>
      <c r="AN9" s="215" t="s">
        <v>588</v>
      </c>
      <c r="AO9" s="215" t="s">
        <v>542</v>
      </c>
      <c r="AP9" s="215" t="s">
        <v>542</v>
      </c>
      <c r="AQ9" s="215" t="s">
        <v>542</v>
      </c>
      <c r="AR9" s="215" t="s">
        <v>542</v>
      </c>
      <c r="AS9" s="215" t="s">
        <v>541</v>
      </c>
      <c r="AT9" s="215" t="s">
        <v>541</v>
      </c>
      <c r="AU9" s="215" t="s">
        <v>542</v>
      </c>
      <c r="AV9" s="215" t="s">
        <v>542</v>
      </c>
      <c r="AW9" s="215" t="s">
        <v>588</v>
      </c>
      <c r="AX9" s="215" t="s">
        <v>542</v>
      </c>
      <c r="AY9" s="215" t="s">
        <v>588</v>
      </c>
      <c r="AZ9" s="215" t="s">
        <v>542</v>
      </c>
      <c r="BA9" s="215" t="s">
        <v>542</v>
      </c>
      <c r="BB9" s="215" t="s">
        <v>542</v>
      </c>
      <c r="BC9" s="215" t="s">
        <v>542</v>
      </c>
      <c r="BD9" s="215" t="s">
        <v>588</v>
      </c>
      <c r="BE9" s="215" t="s">
        <v>542</v>
      </c>
      <c r="BF9" s="215" t="s">
        <v>542</v>
      </c>
      <c r="BG9" s="215" t="s">
        <v>588</v>
      </c>
      <c r="BH9" s="215" t="s">
        <v>542</v>
      </c>
      <c r="BI9" s="215" t="s">
        <v>542</v>
      </c>
      <c r="BJ9" s="215" t="s">
        <v>542</v>
      </c>
      <c r="BK9" s="215" t="s">
        <v>542</v>
      </c>
      <c r="BL9" s="215" t="s">
        <v>588</v>
      </c>
      <c r="BM9" s="215" t="s">
        <v>542</v>
      </c>
      <c r="BN9" s="215" t="s">
        <v>588</v>
      </c>
      <c r="BO9" s="215" t="s">
        <v>542</v>
      </c>
      <c r="BP9" s="215" t="s">
        <v>542</v>
      </c>
      <c r="BQ9" s="215" t="s">
        <v>542</v>
      </c>
      <c r="BR9" s="215" t="s">
        <v>542</v>
      </c>
      <c r="BS9" s="215" t="s">
        <v>542</v>
      </c>
      <c r="BT9" s="215" t="s">
        <v>542</v>
      </c>
      <c r="BU9" s="215" t="s">
        <v>542</v>
      </c>
      <c r="BV9" s="215" t="s">
        <v>588</v>
      </c>
      <c r="BW9" s="215" t="s">
        <v>542</v>
      </c>
      <c r="BX9" s="215" t="s">
        <v>542</v>
      </c>
      <c r="BY9" s="215" t="s">
        <v>542</v>
      </c>
      <c r="BZ9" s="215" t="s">
        <v>542</v>
      </c>
      <c r="CA9" s="215" t="s">
        <v>542</v>
      </c>
      <c r="CB9" s="215" t="s">
        <v>542</v>
      </c>
      <c r="CC9" s="215" t="s">
        <v>542</v>
      </c>
      <c r="CD9" s="215" t="s">
        <v>542</v>
      </c>
      <c r="CE9" s="215" t="s">
        <v>542</v>
      </c>
      <c r="CF9" s="215" t="s">
        <v>542</v>
      </c>
      <c r="CG9" s="215" t="s">
        <v>542</v>
      </c>
      <c r="CH9" s="215" t="s">
        <v>542</v>
      </c>
      <c r="CI9" s="215" t="s">
        <v>542</v>
      </c>
      <c r="CJ9" s="215" t="s">
        <v>542</v>
      </c>
      <c r="CK9" s="215" t="s">
        <v>542</v>
      </c>
      <c r="CL9" s="215" t="s">
        <v>542</v>
      </c>
      <c r="CM9" s="215" t="s">
        <v>542</v>
      </c>
      <c r="CN9" s="215" t="s">
        <v>542</v>
      </c>
      <c r="CO9" s="215" t="s">
        <v>542</v>
      </c>
      <c r="CP9" s="215" t="s">
        <v>542</v>
      </c>
      <c r="CQ9" s="215" t="s">
        <v>542</v>
      </c>
      <c r="CR9" s="215" t="s">
        <v>542</v>
      </c>
      <c r="CS9" s="215" t="s">
        <v>542</v>
      </c>
      <c r="CT9" s="215" t="s">
        <v>542</v>
      </c>
      <c r="CU9" s="215" t="s">
        <v>542</v>
      </c>
      <c r="CV9" s="215" t="s">
        <v>542</v>
      </c>
      <c r="CW9" s="215" t="s">
        <v>542</v>
      </c>
      <c r="CX9" s="215" t="s">
        <v>542</v>
      </c>
      <c r="CY9" s="215" t="s">
        <v>542</v>
      </c>
      <c r="CZ9" s="215" t="s">
        <v>542</v>
      </c>
      <c r="DA9" s="215" t="s">
        <v>542</v>
      </c>
      <c r="DB9" s="215" t="s">
        <v>542</v>
      </c>
      <c r="DC9" s="215" t="s">
        <v>542</v>
      </c>
      <c r="DD9" s="215" t="s">
        <v>542</v>
      </c>
      <c r="DE9" s="215" t="s">
        <v>542</v>
      </c>
      <c r="DF9" s="215" t="s">
        <v>542</v>
      </c>
      <c r="DG9" s="215" t="s">
        <v>542</v>
      </c>
      <c r="DH9" s="215" t="s">
        <v>542</v>
      </c>
      <c r="DI9" s="215" t="s">
        <v>542</v>
      </c>
      <c r="DJ9" s="215" t="s">
        <v>542</v>
      </c>
      <c r="DK9" s="215" t="s">
        <v>542</v>
      </c>
      <c r="DL9" s="215" t="s">
        <v>588</v>
      </c>
      <c r="DM9" s="215" t="s">
        <v>542</v>
      </c>
      <c r="DN9" s="215" t="s">
        <v>542</v>
      </c>
      <c r="DO9" s="215" t="s">
        <v>542</v>
      </c>
      <c r="DP9" s="215" t="s">
        <v>542</v>
      </c>
      <c r="DQ9" s="215" t="s">
        <v>542</v>
      </c>
      <c r="DR9" s="215" t="s">
        <v>542</v>
      </c>
      <c r="DS9" s="215" t="s">
        <v>588</v>
      </c>
      <c r="DT9" s="215" t="s">
        <v>542</v>
      </c>
      <c r="DU9" s="215" t="s">
        <v>542</v>
      </c>
      <c r="DV9" s="215" t="s">
        <v>542</v>
      </c>
      <c r="DW9" s="215" t="s">
        <v>542</v>
      </c>
      <c r="DX9" s="215" t="s">
        <v>542</v>
      </c>
      <c r="DY9" s="215" t="s">
        <v>588</v>
      </c>
      <c r="DZ9" s="215" t="s">
        <v>542</v>
      </c>
      <c r="EA9" s="215" t="s">
        <v>542</v>
      </c>
      <c r="EB9" s="215" t="s">
        <v>542</v>
      </c>
      <c r="EC9" s="215" t="s">
        <v>542</v>
      </c>
      <c r="ED9" s="215" t="s">
        <v>542</v>
      </c>
      <c r="EE9" s="215" t="s">
        <v>588</v>
      </c>
      <c r="EF9" s="215" t="s">
        <v>542</v>
      </c>
      <c r="EG9" s="215" t="s">
        <v>542</v>
      </c>
      <c r="EH9" s="215" t="s">
        <v>542</v>
      </c>
      <c r="EI9" s="215" t="s">
        <v>542</v>
      </c>
      <c r="EJ9" s="215" t="s">
        <v>542</v>
      </c>
      <c r="EK9" s="215" t="s">
        <v>588</v>
      </c>
      <c r="EL9" s="215" t="s">
        <v>542</v>
      </c>
      <c r="EM9" s="215" t="s">
        <v>542</v>
      </c>
      <c r="EN9" s="215" t="s">
        <v>542</v>
      </c>
      <c r="EO9" s="215" t="s">
        <v>542</v>
      </c>
      <c r="EP9" s="215" t="s">
        <v>542</v>
      </c>
      <c r="EQ9" s="215" t="s">
        <v>588</v>
      </c>
      <c r="ER9" s="215" t="s">
        <v>542</v>
      </c>
      <c r="ES9" s="215" t="s">
        <v>588</v>
      </c>
      <c r="ET9" s="215" t="s">
        <v>542</v>
      </c>
      <c r="EU9" s="215" t="s">
        <v>542</v>
      </c>
      <c r="EV9" s="215" t="s">
        <v>542</v>
      </c>
      <c r="EW9" s="215" t="s">
        <v>542</v>
      </c>
      <c r="EX9" s="215" t="s">
        <v>542</v>
      </c>
      <c r="EY9" s="215" t="s">
        <v>542</v>
      </c>
      <c r="EZ9" s="215" t="s">
        <v>588</v>
      </c>
      <c r="FA9" s="215" t="s">
        <v>542</v>
      </c>
      <c r="FB9" s="215" t="s">
        <v>542</v>
      </c>
      <c r="FC9" s="215" t="s">
        <v>542</v>
      </c>
      <c r="FD9" s="215" t="s">
        <v>542</v>
      </c>
      <c r="FE9" s="215" t="s">
        <v>542</v>
      </c>
      <c r="FF9" s="215" t="s">
        <v>588</v>
      </c>
      <c r="FG9" s="215" t="s">
        <v>542</v>
      </c>
      <c r="FH9" s="215" t="s">
        <v>542</v>
      </c>
      <c r="FI9" s="215" t="s">
        <v>542</v>
      </c>
      <c r="FJ9" s="215" t="s">
        <v>542</v>
      </c>
      <c r="FK9" s="215" t="s">
        <v>542</v>
      </c>
      <c r="FL9" s="215" t="s">
        <v>588</v>
      </c>
      <c r="FM9" s="215" t="s">
        <v>542</v>
      </c>
      <c r="FN9" s="215" t="s">
        <v>542</v>
      </c>
      <c r="FO9" s="215" t="s">
        <v>542</v>
      </c>
      <c r="FP9" s="215" t="s">
        <v>542</v>
      </c>
      <c r="FQ9" s="215" t="s">
        <v>542</v>
      </c>
      <c r="FR9" s="215" t="s">
        <v>588</v>
      </c>
      <c r="FS9" s="215" t="s">
        <v>542</v>
      </c>
      <c r="FT9" s="215" t="s">
        <v>542</v>
      </c>
      <c r="FU9" s="215" t="s">
        <v>542</v>
      </c>
      <c r="FV9" s="215" t="s">
        <v>542</v>
      </c>
      <c r="FW9" s="215" t="s">
        <v>542</v>
      </c>
      <c r="FX9" s="215" t="s">
        <v>588</v>
      </c>
      <c r="FY9" s="215" t="s">
        <v>542</v>
      </c>
      <c r="FZ9" s="215" t="s">
        <v>588</v>
      </c>
      <c r="GA9" s="215" t="s">
        <v>542</v>
      </c>
      <c r="GB9" s="215" t="s">
        <v>542</v>
      </c>
      <c r="GC9" s="215" t="s">
        <v>542</v>
      </c>
      <c r="GD9" s="215" t="s">
        <v>542</v>
      </c>
      <c r="GE9" s="215" t="s">
        <v>542</v>
      </c>
      <c r="GF9" s="215" t="s">
        <v>542</v>
      </c>
      <c r="GG9" s="215" t="s">
        <v>542</v>
      </c>
      <c r="GH9" s="215" t="s">
        <v>588</v>
      </c>
      <c r="GI9" s="215" t="s">
        <v>542</v>
      </c>
      <c r="GJ9" s="215" t="s">
        <v>588</v>
      </c>
    </row>
    <row r="10" spans="1:192" x14ac:dyDescent="0.2">
      <c r="A10" s="215" t="s">
        <v>553</v>
      </c>
      <c r="B10" s="215" t="s">
        <v>588</v>
      </c>
      <c r="C10" s="215" t="s">
        <v>541</v>
      </c>
      <c r="D10" s="215" t="s">
        <v>542</v>
      </c>
      <c r="E10" s="215" t="s">
        <v>542</v>
      </c>
      <c r="F10" s="215" t="s">
        <v>542</v>
      </c>
      <c r="G10" s="215" t="s">
        <v>542</v>
      </c>
      <c r="H10" s="215" t="s">
        <v>542</v>
      </c>
      <c r="I10" s="215" t="s">
        <v>588</v>
      </c>
      <c r="J10" s="215" t="s">
        <v>541</v>
      </c>
      <c r="K10" s="215" t="s">
        <v>541</v>
      </c>
      <c r="L10" s="215" t="s">
        <v>542</v>
      </c>
      <c r="M10" s="215" t="s">
        <v>542</v>
      </c>
      <c r="N10" s="215" t="s">
        <v>542</v>
      </c>
      <c r="O10" s="215" t="s">
        <v>542</v>
      </c>
      <c r="P10" s="215" t="s">
        <v>542</v>
      </c>
      <c r="Q10" s="215" t="s">
        <v>542</v>
      </c>
      <c r="R10" s="215" t="s">
        <v>542</v>
      </c>
      <c r="S10" s="215" t="s">
        <v>588</v>
      </c>
      <c r="T10" s="215" t="s">
        <v>542</v>
      </c>
      <c r="U10" s="215" t="s">
        <v>588</v>
      </c>
      <c r="V10" s="215" t="s">
        <v>541</v>
      </c>
      <c r="W10" s="215" t="s">
        <v>541</v>
      </c>
      <c r="X10" s="215" t="s">
        <v>541</v>
      </c>
      <c r="Y10" s="215" t="s">
        <v>542</v>
      </c>
      <c r="Z10" s="215" t="s">
        <v>542</v>
      </c>
      <c r="AA10" s="215" t="s">
        <v>542</v>
      </c>
      <c r="AB10" s="215" t="s">
        <v>542</v>
      </c>
      <c r="AC10" s="215" t="s">
        <v>542</v>
      </c>
      <c r="AD10" s="215" t="s">
        <v>542</v>
      </c>
      <c r="AE10" s="215" t="s">
        <v>542</v>
      </c>
      <c r="AF10" s="215" t="s">
        <v>542</v>
      </c>
      <c r="AG10" s="215" t="s">
        <v>588</v>
      </c>
      <c r="AH10" s="215" t="s">
        <v>542</v>
      </c>
      <c r="AI10" s="215" t="s">
        <v>542</v>
      </c>
      <c r="AJ10" s="215" t="s">
        <v>588</v>
      </c>
      <c r="AK10" s="215" t="s">
        <v>542</v>
      </c>
      <c r="AL10" s="215" t="s">
        <v>588</v>
      </c>
      <c r="AM10" s="215" t="s">
        <v>542</v>
      </c>
      <c r="AN10" s="215" t="s">
        <v>593</v>
      </c>
      <c r="AO10" s="215" t="s">
        <v>541</v>
      </c>
      <c r="AP10" s="215" t="s">
        <v>542</v>
      </c>
      <c r="AQ10" s="215" t="s">
        <v>542</v>
      </c>
      <c r="AR10" s="215" t="s">
        <v>542</v>
      </c>
      <c r="AS10" s="215" t="s">
        <v>541</v>
      </c>
      <c r="AT10" s="215" t="s">
        <v>541</v>
      </c>
      <c r="AU10" s="215" t="s">
        <v>542</v>
      </c>
      <c r="AV10" s="215" t="s">
        <v>542</v>
      </c>
      <c r="AW10" s="215" t="s">
        <v>588</v>
      </c>
      <c r="AX10" s="215" t="s">
        <v>542</v>
      </c>
      <c r="AY10" s="215" t="s">
        <v>588</v>
      </c>
      <c r="AZ10" s="215" t="s">
        <v>542</v>
      </c>
      <c r="BA10" s="215" t="s">
        <v>542</v>
      </c>
      <c r="BB10" s="215" t="s">
        <v>542</v>
      </c>
      <c r="BC10" s="215" t="s">
        <v>542</v>
      </c>
      <c r="BD10" s="215" t="s">
        <v>588</v>
      </c>
      <c r="BE10" s="215" t="s">
        <v>542</v>
      </c>
      <c r="BF10" s="215" t="s">
        <v>542</v>
      </c>
      <c r="BG10" s="215" t="s">
        <v>588</v>
      </c>
      <c r="BH10" s="215" t="s">
        <v>542</v>
      </c>
      <c r="BI10" s="215" t="s">
        <v>542</v>
      </c>
      <c r="BJ10" s="215" t="s">
        <v>542</v>
      </c>
      <c r="BK10" s="215" t="s">
        <v>542</v>
      </c>
      <c r="BL10" s="215" t="s">
        <v>588</v>
      </c>
      <c r="BM10" s="215" t="s">
        <v>542</v>
      </c>
      <c r="BN10" s="215" t="s">
        <v>588</v>
      </c>
      <c r="BO10" s="215" t="s">
        <v>542</v>
      </c>
      <c r="BP10" s="215" t="s">
        <v>542</v>
      </c>
      <c r="BQ10" s="215" t="s">
        <v>542</v>
      </c>
      <c r="BR10" s="215" t="s">
        <v>542</v>
      </c>
      <c r="BS10" s="215" t="s">
        <v>542</v>
      </c>
      <c r="BT10" s="215" t="s">
        <v>542</v>
      </c>
      <c r="BU10" s="215" t="s">
        <v>542</v>
      </c>
      <c r="BV10" s="215" t="s">
        <v>588</v>
      </c>
      <c r="BW10" s="215" t="s">
        <v>542</v>
      </c>
      <c r="BX10" s="215" t="s">
        <v>542</v>
      </c>
      <c r="BY10" s="215" t="s">
        <v>542</v>
      </c>
      <c r="BZ10" s="215" t="s">
        <v>542</v>
      </c>
      <c r="CA10" s="215" t="s">
        <v>542</v>
      </c>
      <c r="CB10" s="215" t="s">
        <v>542</v>
      </c>
      <c r="CC10" s="215" t="s">
        <v>542</v>
      </c>
      <c r="CD10" s="215" t="s">
        <v>542</v>
      </c>
      <c r="CE10" s="215" t="s">
        <v>542</v>
      </c>
      <c r="CF10" s="215" t="s">
        <v>542</v>
      </c>
      <c r="CG10" s="215" t="s">
        <v>542</v>
      </c>
      <c r="CH10" s="215" t="s">
        <v>541</v>
      </c>
      <c r="CI10" s="215" t="s">
        <v>541</v>
      </c>
      <c r="CJ10" s="215" t="s">
        <v>542</v>
      </c>
      <c r="CK10" s="215" t="s">
        <v>542</v>
      </c>
      <c r="CL10" s="215" t="s">
        <v>542</v>
      </c>
      <c r="CM10" s="215" t="s">
        <v>542</v>
      </c>
      <c r="CN10" s="215" t="s">
        <v>542</v>
      </c>
      <c r="CO10" s="215" t="s">
        <v>542</v>
      </c>
      <c r="CP10" s="215" t="s">
        <v>542</v>
      </c>
      <c r="CQ10" s="215" t="s">
        <v>542</v>
      </c>
      <c r="CR10" s="215" t="s">
        <v>542</v>
      </c>
      <c r="CS10" s="215" t="s">
        <v>542</v>
      </c>
      <c r="CT10" s="215" t="s">
        <v>542</v>
      </c>
      <c r="CU10" s="215" t="s">
        <v>542</v>
      </c>
      <c r="CV10" s="215" t="s">
        <v>542</v>
      </c>
      <c r="CW10" s="215" t="s">
        <v>542</v>
      </c>
      <c r="CX10" s="215" t="s">
        <v>542</v>
      </c>
      <c r="CY10" s="215" t="s">
        <v>542</v>
      </c>
      <c r="CZ10" s="215" t="s">
        <v>542</v>
      </c>
      <c r="DA10" s="215" t="s">
        <v>542</v>
      </c>
      <c r="DB10" s="215" t="s">
        <v>542</v>
      </c>
      <c r="DC10" s="215" t="s">
        <v>542</v>
      </c>
      <c r="DD10" s="215" t="s">
        <v>542</v>
      </c>
      <c r="DE10" s="215" t="s">
        <v>542</v>
      </c>
      <c r="DF10" s="215" t="s">
        <v>542</v>
      </c>
      <c r="DG10" s="215" t="s">
        <v>542</v>
      </c>
      <c r="DH10" s="215" t="s">
        <v>542</v>
      </c>
      <c r="DI10" s="215" t="s">
        <v>542</v>
      </c>
      <c r="DJ10" s="215" t="s">
        <v>542</v>
      </c>
      <c r="DK10" s="215" t="s">
        <v>542</v>
      </c>
      <c r="DL10" s="215" t="s">
        <v>588</v>
      </c>
      <c r="DM10" s="215" t="s">
        <v>542</v>
      </c>
      <c r="DN10" s="215" t="s">
        <v>542</v>
      </c>
      <c r="DO10" s="215" t="s">
        <v>542</v>
      </c>
      <c r="DP10" s="215" t="s">
        <v>542</v>
      </c>
      <c r="DQ10" s="215" t="s">
        <v>542</v>
      </c>
      <c r="DR10" s="215" t="s">
        <v>542</v>
      </c>
      <c r="DS10" s="215" t="s">
        <v>588</v>
      </c>
      <c r="DT10" s="215" t="s">
        <v>542</v>
      </c>
      <c r="DU10" s="215" t="s">
        <v>542</v>
      </c>
      <c r="DV10" s="215" t="s">
        <v>542</v>
      </c>
      <c r="DW10" s="215" t="s">
        <v>542</v>
      </c>
      <c r="DX10" s="215" t="s">
        <v>542</v>
      </c>
      <c r="DY10" s="215" t="s">
        <v>588</v>
      </c>
      <c r="DZ10" s="215" t="s">
        <v>542</v>
      </c>
      <c r="EA10" s="215" t="s">
        <v>542</v>
      </c>
      <c r="EB10" s="215" t="s">
        <v>542</v>
      </c>
      <c r="EC10" s="215" t="s">
        <v>542</v>
      </c>
      <c r="ED10" s="215" t="s">
        <v>542</v>
      </c>
      <c r="EE10" s="215" t="s">
        <v>588</v>
      </c>
      <c r="EF10" s="215" t="s">
        <v>542</v>
      </c>
      <c r="EG10" s="215" t="s">
        <v>542</v>
      </c>
      <c r="EH10" s="215" t="s">
        <v>542</v>
      </c>
      <c r="EI10" s="215" t="s">
        <v>542</v>
      </c>
      <c r="EJ10" s="215" t="s">
        <v>542</v>
      </c>
      <c r="EK10" s="215" t="s">
        <v>588</v>
      </c>
      <c r="EL10" s="215" t="s">
        <v>542</v>
      </c>
      <c r="EM10" s="215" t="s">
        <v>542</v>
      </c>
      <c r="EN10" s="215" t="s">
        <v>542</v>
      </c>
      <c r="EO10" s="215" t="s">
        <v>542</v>
      </c>
      <c r="EP10" s="215" t="s">
        <v>542</v>
      </c>
      <c r="EQ10" s="215" t="s">
        <v>588</v>
      </c>
      <c r="ER10" s="215" t="s">
        <v>542</v>
      </c>
      <c r="ES10" s="215" t="s">
        <v>588</v>
      </c>
      <c r="ET10" s="215" t="s">
        <v>542</v>
      </c>
      <c r="EU10" s="215" t="s">
        <v>542</v>
      </c>
      <c r="EV10" s="215" t="s">
        <v>542</v>
      </c>
      <c r="EW10" s="215" t="s">
        <v>542</v>
      </c>
      <c r="EX10" s="215" t="s">
        <v>542</v>
      </c>
      <c r="EY10" s="215" t="s">
        <v>542</v>
      </c>
      <c r="EZ10" s="215" t="s">
        <v>588</v>
      </c>
      <c r="FA10" s="215" t="s">
        <v>542</v>
      </c>
      <c r="FB10" s="215" t="s">
        <v>542</v>
      </c>
      <c r="FC10" s="215" t="s">
        <v>542</v>
      </c>
      <c r="FD10" s="215" t="s">
        <v>542</v>
      </c>
      <c r="FE10" s="215" t="s">
        <v>542</v>
      </c>
      <c r="FF10" s="215" t="s">
        <v>588</v>
      </c>
      <c r="FG10" s="215" t="s">
        <v>542</v>
      </c>
      <c r="FH10" s="215" t="s">
        <v>542</v>
      </c>
      <c r="FI10" s="215" t="s">
        <v>542</v>
      </c>
      <c r="FJ10" s="215" t="s">
        <v>542</v>
      </c>
      <c r="FK10" s="215" t="s">
        <v>542</v>
      </c>
      <c r="FL10" s="215" t="s">
        <v>588</v>
      </c>
      <c r="FM10" s="215" t="s">
        <v>542</v>
      </c>
      <c r="FN10" s="215" t="s">
        <v>542</v>
      </c>
      <c r="FO10" s="215" t="s">
        <v>542</v>
      </c>
      <c r="FP10" s="215" t="s">
        <v>542</v>
      </c>
      <c r="FQ10" s="215" t="s">
        <v>542</v>
      </c>
      <c r="FR10" s="215" t="s">
        <v>588</v>
      </c>
      <c r="FS10" s="215" t="s">
        <v>542</v>
      </c>
      <c r="FT10" s="215" t="s">
        <v>542</v>
      </c>
      <c r="FU10" s="215" t="s">
        <v>542</v>
      </c>
      <c r="FV10" s="215" t="s">
        <v>542</v>
      </c>
      <c r="FW10" s="215" t="s">
        <v>542</v>
      </c>
      <c r="FX10" s="215" t="s">
        <v>588</v>
      </c>
      <c r="FY10" s="215" t="s">
        <v>542</v>
      </c>
      <c r="FZ10" s="215" t="s">
        <v>588</v>
      </c>
      <c r="GA10" s="215" t="s">
        <v>542</v>
      </c>
      <c r="GB10" s="215" t="s">
        <v>542</v>
      </c>
      <c r="GC10" s="215" t="s">
        <v>542</v>
      </c>
      <c r="GD10" s="215" t="s">
        <v>542</v>
      </c>
      <c r="GE10" s="215" t="s">
        <v>542</v>
      </c>
      <c r="GF10" s="215" t="s">
        <v>542</v>
      </c>
      <c r="GG10" s="215" t="s">
        <v>542</v>
      </c>
      <c r="GH10" s="215" t="s">
        <v>588</v>
      </c>
      <c r="GI10" s="215" t="s">
        <v>542</v>
      </c>
      <c r="GJ10" s="215" t="s">
        <v>588</v>
      </c>
    </row>
    <row r="11" spans="1:192" x14ac:dyDescent="0.2">
      <c r="A11" s="215" t="s">
        <v>556</v>
      </c>
      <c r="B11" s="215">
        <v>2024</v>
      </c>
      <c r="C11" s="215" t="s">
        <v>541</v>
      </c>
      <c r="D11" s="215" t="s">
        <v>541</v>
      </c>
      <c r="E11" s="215" t="s">
        <v>542</v>
      </c>
      <c r="F11" s="215" t="s">
        <v>542</v>
      </c>
      <c r="G11" s="215" t="s">
        <v>542</v>
      </c>
      <c r="H11" s="215" t="s">
        <v>542</v>
      </c>
      <c r="I11" s="215" t="s">
        <v>588</v>
      </c>
      <c r="J11" s="215" t="s">
        <v>541</v>
      </c>
      <c r="K11" s="215" t="s">
        <v>541</v>
      </c>
      <c r="L11" s="215" t="s">
        <v>541</v>
      </c>
      <c r="M11" s="215" t="s">
        <v>542</v>
      </c>
      <c r="N11" s="215" t="s">
        <v>542</v>
      </c>
      <c r="O11" s="215" t="s">
        <v>542</v>
      </c>
      <c r="P11" s="215" t="s">
        <v>542</v>
      </c>
      <c r="Q11" s="215" t="s">
        <v>542</v>
      </c>
      <c r="R11" s="215" t="s">
        <v>542</v>
      </c>
      <c r="S11" s="215" t="s">
        <v>588</v>
      </c>
      <c r="T11" s="215" t="s">
        <v>542</v>
      </c>
      <c r="U11" s="215" t="s">
        <v>588</v>
      </c>
      <c r="V11" s="215" t="s">
        <v>541</v>
      </c>
      <c r="W11" s="215" t="s">
        <v>541</v>
      </c>
      <c r="X11" s="215" t="s">
        <v>541</v>
      </c>
      <c r="Y11" s="215" t="s">
        <v>542</v>
      </c>
      <c r="Z11" s="215" t="s">
        <v>542</v>
      </c>
      <c r="AA11" s="215" t="s">
        <v>542</v>
      </c>
      <c r="AB11" s="215" t="s">
        <v>542</v>
      </c>
      <c r="AC11" s="215" t="s">
        <v>542</v>
      </c>
      <c r="AD11" s="215" t="s">
        <v>542</v>
      </c>
      <c r="AE11" s="215" t="s">
        <v>542</v>
      </c>
      <c r="AF11" s="215" t="s">
        <v>542</v>
      </c>
      <c r="AG11" s="215" t="s">
        <v>588</v>
      </c>
      <c r="AH11" s="215" t="s">
        <v>542</v>
      </c>
      <c r="AI11" s="215" t="s">
        <v>542</v>
      </c>
      <c r="AJ11" s="215" t="s">
        <v>588</v>
      </c>
      <c r="AK11" s="215" t="s">
        <v>542</v>
      </c>
      <c r="AL11" s="215" t="s">
        <v>588</v>
      </c>
      <c r="AM11" s="215" t="s">
        <v>541</v>
      </c>
      <c r="AN11" s="215" t="s">
        <v>594</v>
      </c>
      <c r="AO11" s="215" t="s">
        <v>542</v>
      </c>
      <c r="AP11" s="215" t="s">
        <v>542</v>
      </c>
      <c r="AQ11" s="215" t="s">
        <v>542</v>
      </c>
      <c r="AR11" s="215" t="s">
        <v>542</v>
      </c>
      <c r="AS11" s="215" t="s">
        <v>542</v>
      </c>
      <c r="AT11" s="215" t="s">
        <v>542</v>
      </c>
      <c r="AU11" s="215" t="s">
        <v>542</v>
      </c>
      <c r="AV11" s="215" t="s">
        <v>542</v>
      </c>
      <c r="AW11" s="215" t="s">
        <v>588</v>
      </c>
      <c r="AX11" s="215" t="s">
        <v>542</v>
      </c>
      <c r="AY11" s="215" t="s">
        <v>588</v>
      </c>
      <c r="AZ11" s="215" t="s">
        <v>542</v>
      </c>
      <c r="BA11" s="215" t="s">
        <v>542</v>
      </c>
      <c r="BB11" s="215" t="s">
        <v>542</v>
      </c>
      <c r="BC11" s="215" t="s">
        <v>542</v>
      </c>
      <c r="BD11" s="215" t="s">
        <v>588</v>
      </c>
      <c r="BE11" s="215" t="s">
        <v>542</v>
      </c>
      <c r="BF11" s="215" t="s">
        <v>542</v>
      </c>
      <c r="BG11" s="215" t="s">
        <v>588</v>
      </c>
      <c r="BH11" s="215" t="s">
        <v>542</v>
      </c>
      <c r="BI11" s="215" t="s">
        <v>542</v>
      </c>
      <c r="BJ11" s="215" t="s">
        <v>542</v>
      </c>
      <c r="BK11" s="215" t="s">
        <v>542</v>
      </c>
      <c r="BL11" s="215" t="s">
        <v>588</v>
      </c>
      <c r="BM11" s="215" t="s">
        <v>542</v>
      </c>
      <c r="BN11" s="215" t="s">
        <v>588</v>
      </c>
      <c r="BO11" s="215" t="s">
        <v>542</v>
      </c>
      <c r="BP11" s="215" t="s">
        <v>542</v>
      </c>
      <c r="BQ11" s="215" t="s">
        <v>542</v>
      </c>
      <c r="BR11" s="215" t="s">
        <v>542</v>
      </c>
      <c r="BS11" s="215" t="s">
        <v>542</v>
      </c>
      <c r="BT11" s="215" t="s">
        <v>542</v>
      </c>
      <c r="BU11" s="215" t="s">
        <v>542</v>
      </c>
      <c r="BV11" s="215" t="s">
        <v>588</v>
      </c>
      <c r="BW11" s="215" t="s">
        <v>542</v>
      </c>
      <c r="BX11" s="215" t="s">
        <v>542</v>
      </c>
      <c r="BY11" s="215" t="s">
        <v>542</v>
      </c>
      <c r="BZ11" s="215" t="s">
        <v>542</v>
      </c>
      <c r="CA11" s="215" t="s">
        <v>542</v>
      </c>
      <c r="CB11" s="215" t="s">
        <v>542</v>
      </c>
      <c r="CC11" s="215" t="s">
        <v>542</v>
      </c>
      <c r="CD11" s="215" t="s">
        <v>542</v>
      </c>
      <c r="CE11" s="215" t="s">
        <v>542</v>
      </c>
      <c r="CF11" s="215" t="s">
        <v>542</v>
      </c>
      <c r="CG11" s="215" t="s">
        <v>542</v>
      </c>
      <c r="CH11" s="215" t="s">
        <v>542</v>
      </c>
      <c r="CI11" s="215" t="s">
        <v>542</v>
      </c>
      <c r="CJ11" s="215" t="s">
        <v>542</v>
      </c>
      <c r="CK11" s="215" t="s">
        <v>542</v>
      </c>
      <c r="CL11" s="215" t="s">
        <v>542</v>
      </c>
      <c r="CM11" s="215" t="s">
        <v>542</v>
      </c>
      <c r="CN11" s="215" t="s">
        <v>542</v>
      </c>
      <c r="CO11" s="215" t="s">
        <v>542</v>
      </c>
      <c r="CP11" s="215" t="s">
        <v>542</v>
      </c>
      <c r="CQ11" s="215" t="s">
        <v>542</v>
      </c>
      <c r="CR11" s="215" t="s">
        <v>542</v>
      </c>
      <c r="CS11" s="215" t="s">
        <v>542</v>
      </c>
      <c r="CT11" s="215" t="s">
        <v>542</v>
      </c>
      <c r="CU11" s="215" t="s">
        <v>542</v>
      </c>
      <c r="CV11" s="215" t="s">
        <v>542</v>
      </c>
      <c r="CW11" s="215" t="s">
        <v>542</v>
      </c>
      <c r="CX11" s="215" t="s">
        <v>542</v>
      </c>
      <c r="CY11" s="215" t="s">
        <v>542</v>
      </c>
      <c r="CZ11" s="215" t="s">
        <v>542</v>
      </c>
      <c r="DA11" s="215" t="s">
        <v>542</v>
      </c>
      <c r="DB11" s="215" t="s">
        <v>542</v>
      </c>
      <c r="DC11" s="215" t="s">
        <v>542</v>
      </c>
      <c r="DD11" s="215" t="s">
        <v>542</v>
      </c>
      <c r="DE11" s="215" t="s">
        <v>542</v>
      </c>
      <c r="DF11" s="215" t="s">
        <v>542</v>
      </c>
      <c r="DG11" s="215" t="s">
        <v>542</v>
      </c>
      <c r="DH11" s="215" t="s">
        <v>542</v>
      </c>
      <c r="DI11" s="215" t="s">
        <v>542</v>
      </c>
      <c r="DJ11" s="215" t="s">
        <v>542</v>
      </c>
      <c r="DK11" s="215" t="s">
        <v>542</v>
      </c>
      <c r="DL11" s="215" t="s">
        <v>588</v>
      </c>
      <c r="DM11" s="215" t="s">
        <v>542</v>
      </c>
      <c r="DN11" s="215" t="s">
        <v>542</v>
      </c>
      <c r="DO11" s="215" t="s">
        <v>542</v>
      </c>
      <c r="DP11" s="215" t="s">
        <v>542</v>
      </c>
      <c r="DQ11" s="215" t="s">
        <v>542</v>
      </c>
      <c r="DR11" s="215" t="s">
        <v>542</v>
      </c>
      <c r="DS11" s="215" t="s">
        <v>588</v>
      </c>
      <c r="DT11" s="215" t="s">
        <v>542</v>
      </c>
      <c r="DU11" s="215" t="s">
        <v>542</v>
      </c>
      <c r="DV11" s="215" t="s">
        <v>542</v>
      </c>
      <c r="DW11" s="215" t="s">
        <v>542</v>
      </c>
      <c r="DX11" s="215" t="s">
        <v>542</v>
      </c>
      <c r="DY11" s="215" t="s">
        <v>588</v>
      </c>
      <c r="DZ11" s="215" t="s">
        <v>542</v>
      </c>
      <c r="EA11" s="215" t="s">
        <v>542</v>
      </c>
      <c r="EB11" s="215" t="s">
        <v>542</v>
      </c>
      <c r="EC11" s="215" t="s">
        <v>542</v>
      </c>
      <c r="ED11" s="215" t="s">
        <v>542</v>
      </c>
      <c r="EE11" s="215" t="s">
        <v>588</v>
      </c>
      <c r="EF11" s="215" t="s">
        <v>542</v>
      </c>
      <c r="EG11" s="215" t="s">
        <v>542</v>
      </c>
      <c r="EH11" s="215" t="s">
        <v>542</v>
      </c>
      <c r="EI11" s="215" t="s">
        <v>542</v>
      </c>
      <c r="EJ11" s="215" t="s">
        <v>542</v>
      </c>
      <c r="EK11" s="215" t="s">
        <v>588</v>
      </c>
      <c r="EL11" s="215" t="s">
        <v>542</v>
      </c>
      <c r="EM11" s="215" t="s">
        <v>542</v>
      </c>
      <c r="EN11" s="215" t="s">
        <v>542</v>
      </c>
      <c r="EO11" s="215" t="s">
        <v>542</v>
      </c>
      <c r="EP11" s="215" t="s">
        <v>542</v>
      </c>
      <c r="EQ11" s="215" t="s">
        <v>588</v>
      </c>
      <c r="ER11" s="215" t="s">
        <v>542</v>
      </c>
      <c r="ES11" s="215" t="s">
        <v>588</v>
      </c>
      <c r="ET11" s="215" t="s">
        <v>542</v>
      </c>
      <c r="EU11" s="215" t="s">
        <v>542</v>
      </c>
      <c r="EV11" s="215" t="s">
        <v>542</v>
      </c>
      <c r="EW11" s="215" t="s">
        <v>542</v>
      </c>
      <c r="EX11" s="215" t="s">
        <v>542</v>
      </c>
      <c r="EY11" s="215" t="s">
        <v>542</v>
      </c>
      <c r="EZ11" s="215" t="s">
        <v>588</v>
      </c>
      <c r="FA11" s="215" t="s">
        <v>542</v>
      </c>
      <c r="FB11" s="215" t="s">
        <v>542</v>
      </c>
      <c r="FC11" s="215" t="s">
        <v>542</v>
      </c>
      <c r="FD11" s="215" t="s">
        <v>542</v>
      </c>
      <c r="FE11" s="215" t="s">
        <v>542</v>
      </c>
      <c r="FF11" s="215" t="s">
        <v>588</v>
      </c>
      <c r="FG11" s="215" t="s">
        <v>542</v>
      </c>
      <c r="FH11" s="215" t="s">
        <v>542</v>
      </c>
      <c r="FI11" s="215" t="s">
        <v>542</v>
      </c>
      <c r="FJ11" s="215" t="s">
        <v>542</v>
      </c>
      <c r="FK11" s="215" t="s">
        <v>542</v>
      </c>
      <c r="FL11" s="215" t="s">
        <v>588</v>
      </c>
      <c r="FM11" s="215" t="s">
        <v>542</v>
      </c>
      <c r="FN11" s="215" t="s">
        <v>542</v>
      </c>
      <c r="FO11" s="215" t="s">
        <v>542</v>
      </c>
      <c r="FP11" s="215" t="s">
        <v>542</v>
      </c>
      <c r="FQ11" s="215" t="s">
        <v>542</v>
      </c>
      <c r="FR11" s="215" t="s">
        <v>588</v>
      </c>
      <c r="FS11" s="215" t="s">
        <v>542</v>
      </c>
      <c r="FT11" s="215" t="s">
        <v>542</v>
      </c>
      <c r="FU11" s="215" t="s">
        <v>542</v>
      </c>
      <c r="FV11" s="215" t="s">
        <v>542</v>
      </c>
      <c r="FW11" s="215" t="s">
        <v>542</v>
      </c>
      <c r="FX11" s="215" t="s">
        <v>588</v>
      </c>
      <c r="FY11" s="215" t="s">
        <v>542</v>
      </c>
      <c r="FZ11" s="215" t="s">
        <v>588</v>
      </c>
      <c r="GA11" s="215" t="s">
        <v>542</v>
      </c>
      <c r="GB11" s="215" t="s">
        <v>542</v>
      </c>
      <c r="GC11" s="215" t="s">
        <v>542</v>
      </c>
      <c r="GD11" s="215" t="s">
        <v>542</v>
      </c>
      <c r="GE11" s="215" t="s">
        <v>542</v>
      </c>
      <c r="GF11" s="215" t="s">
        <v>542</v>
      </c>
      <c r="GG11" s="215" t="s">
        <v>542</v>
      </c>
      <c r="GH11" s="215" t="s">
        <v>588</v>
      </c>
      <c r="GI11" s="215" t="s">
        <v>542</v>
      </c>
      <c r="GJ11" s="215" t="s">
        <v>588</v>
      </c>
    </row>
    <row r="12" spans="1:192" x14ac:dyDescent="0.2">
      <c r="A12" s="215" t="s">
        <v>595</v>
      </c>
      <c r="B12" s="215" t="s">
        <v>588</v>
      </c>
      <c r="C12" s="215" t="s">
        <v>541</v>
      </c>
      <c r="D12" s="215" t="s">
        <v>542</v>
      </c>
      <c r="E12" s="215" t="s">
        <v>542</v>
      </c>
      <c r="F12" s="215" t="s">
        <v>542</v>
      </c>
      <c r="G12" s="215" t="s">
        <v>542</v>
      </c>
      <c r="H12" s="215" t="s">
        <v>542</v>
      </c>
      <c r="I12" s="215" t="s">
        <v>588</v>
      </c>
      <c r="J12" s="215" t="s">
        <v>541</v>
      </c>
      <c r="K12" s="215" t="s">
        <v>541</v>
      </c>
      <c r="L12" s="215" t="s">
        <v>541</v>
      </c>
      <c r="M12" s="215" t="s">
        <v>541</v>
      </c>
      <c r="N12" s="215" t="s">
        <v>541</v>
      </c>
      <c r="O12" s="215" t="s">
        <v>542</v>
      </c>
      <c r="P12" s="215" t="s">
        <v>542</v>
      </c>
      <c r="Q12" s="215" t="s">
        <v>542</v>
      </c>
      <c r="R12" s="215" t="s">
        <v>542</v>
      </c>
      <c r="S12" s="215" t="s">
        <v>588</v>
      </c>
      <c r="T12" s="215" t="s">
        <v>542</v>
      </c>
      <c r="U12" s="215" t="s">
        <v>588</v>
      </c>
      <c r="V12" s="215" t="s">
        <v>541</v>
      </c>
      <c r="W12" s="215" t="s">
        <v>541</v>
      </c>
      <c r="X12" s="215" t="s">
        <v>541</v>
      </c>
      <c r="Y12" s="215" t="s">
        <v>541</v>
      </c>
      <c r="Z12" s="215" t="s">
        <v>542</v>
      </c>
      <c r="AA12" s="215" t="s">
        <v>541</v>
      </c>
      <c r="AB12" s="215" t="s">
        <v>542</v>
      </c>
      <c r="AC12" s="215" t="s">
        <v>542</v>
      </c>
      <c r="AD12" s="215" t="s">
        <v>542</v>
      </c>
      <c r="AE12" s="215" t="s">
        <v>542</v>
      </c>
      <c r="AF12" s="215" t="s">
        <v>541</v>
      </c>
      <c r="AG12" s="215" t="s">
        <v>590</v>
      </c>
      <c r="AH12" s="215" t="s">
        <v>542</v>
      </c>
      <c r="AI12" s="215" t="s">
        <v>542</v>
      </c>
      <c r="AJ12" s="215" t="s">
        <v>588</v>
      </c>
      <c r="AK12" s="215" t="s">
        <v>542</v>
      </c>
      <c r="AL12" s="215" t="s">
        <v>588</v>
      </c>
      <c r="AM12" s="215" t="s">
        <v>542</v>
      </c>
      <c r="AN12" s="215" t="s">
        <v>588</v>
      </c>
      <c r="AO12" s="215" t="s">
        <v>542</v>
      </c>
      <c r="AP12" s="215" t="s">
        <v>542</v>
      </c>
      <c r="AQ12" s="215" t="s">
        <v>542</v>
      </c>
      <c r="AR12" s="215" t="s">
        <v>542</v>
      </c>
      <c r="AS12" s="215" t="s">
        <v>542</v>
      </c>
      <c r="AT12" s="215" t="s">
        <v>542</v>
      </c>
      <c r="AU12" s="215" t="s">
        <v>542</v>
      </c>
      <c r="AV12" s="215" t="s">
        <v>542</v>
      </c>
      <c r="AW12" s="215" t="s">
        <v>588</v>
      </c>
      <c r="AX12" s="215" t="s">
        <v>542</v>
      </c>
      <c r="AY12" s="215" t="s">
        <v>588</v>
      </c>
      <c r="AZ12" s="215" t="s">
        <v>542</v>
      </c>
      <c r="BA12" s="215" t="s">
        <v>542</v>
      </c>
      <c r="BB12" s="215" t="s">
        <v>542</v>
      </c>
      <c r="BC12" s="215" t="s">
        <v>542</v>
      </c>
      <c r="BD12" s="215" t="s">
        <v>588</v>
      </c>
      <c r="BE12" s="215" t="s">
        <v>542</v>
      </c>
      <c r="BF12" s="215" t="s">
        <v>542</v>
      </c>
      <c r="BG12" s="215" t="s">
        <v>588</v>
      </c>
      <c r="BH12" s="215" t="s">
        <v>542</v>
      </c>
      <c r="BI12" s="215" t="s">
        <v>542</v>
      </c>
      <c r="BJ12" s="215" t="s">
        <v>542</v>
      </c>
      <c r="BK12" s="215" t="s">
        <v>542</v>
      </c>
      <c r="BL12" s="215" t="s">
        <v>588</v>
      </c>
      <c r="BM12" s="215" t="s">
        <v>542</v>
      </c>
      <c r="BN12" s="215" t="s">
        <v>588</v>
      </c>
      <c r="BO12" s="215" t="s">
        <v>542</v>
      </c>
      <c r="BP12" s="215" t="s">
        <v>542</v>
      </c>
      <c r="BQ12" s="215" t="s">
        <v>542</v>
      </c>
      <c r="BR12" s="215" t="s">
        <v>542</v>
      </c>
      <c r="BS12" s="215" t="s">
        <v>542</v>
      </c>
      <c r="BT12" s="215" t="s">
        <v>542</v>
      </c>
      <c r="BU12" s="215" t="s">
        <v>542</v>
      </c>
      <c r="BV12" s="215" t="s">
        <v>588</v>
      </c>
      <c r="BW12" s="215" t="s">
        <v>541</v>
      </c>
      <c r="BX12" s="215" t="s">
        <v>542</v>
      </c>
      <c r="BY12" s="215" t="s">
        <v>542</v>
      </c>
      <c r="BZ12" s="215" t="s">
        <v>542</v>
      </c>
      <c r="CA12" s="215" t="s">
        <v>542</v>
      </c>
      <c r="CB12" s="215" t="s">
        <v>542</v>
      </c>
      <c r="CC12" s="215" t="s">
        <v>541</v>
      </c>
      <c r="CD12" s="215" t="s">
        <v>541</v>
      </c>
      <c r="CE12" s="215" t="s">
        <v>542</v>
      </c>
      <c r="CF12" s="215" t="s">
        <v>542</v>
      </c>
      <c r="CG12" s="215" t="s">
        <v>542</v>
      </c>
      <c r="CH12" s="215" t="s">
        <v>541</v>
      </c>
      <c r="CI12" s="215" t="s">
        <v>541</v>
      </c>
      <c r="CJ12" s="215" t="s">
        <v>542</v>
      </c>
      <c r="CK12" s="215" t="s">
        <v>542</v>
      </c>
      <c r="CL12" s="215" t="s">
        <v>542</v>
      </c>
      <c r="CM12" s="215" t="s">
        <v>541</v>
      </c>
      <c r="CN12" s="215" t="s">
        <v>541</v>
      </c>
      <c r="CO12" s="215" t="s">
        <v>542</v>
      </c>
      <c r="CP12" s="215" t="s">
        <v>542</v>
      </c>
      <c r="CQ12" s="215" t="s">
        <v>542</v>
      </c>
      <c r="CR12" s="215" t="s">
        <v>542</v>
      </c>
      <c r="CS12" s="215" t="s">
        <v>542</v>
      </c>
      <c r="CT12" s="215" t="s">
        <v>542</v>
      </c>
      <c r="CU12" s="215" t="s">
        <v>542</v>
      </c>
      <c r="CV12" s="215" t="s">
        <v>542</v>
      </c>
      <c r="CW12" s="215" t="s">
        <v>542</v>
      </c>
      <c r="CX12" s="215" t="s">
        <v>541</v>
      </c>
      <c r="CY12" s="215" t="s">
        <v>542</v>
      </c>
      <c r="CZ12" s="215" t="s">
        <v>542</v>
      </c>
      <c r="DA12" s="215" t="s">
        <v>541</v>
      </c>
      <c r="DB12" s="215" t="s">
        <v>542</v>
      </c>
      <c r="DC12" s="215" t="s">
        <v>542</v>
      </c>
      <c r="DD12" s="215" t="s">
        <v>542</v>
      </c>
      <c r="DE12" s="215" t="s">
        <v>542</v>
      </c>
      <c r="DF12" s="215" t="s">
        <v>542</v>
      </c>
      <c r="DG12" s="215" t="s">
        <v>542</v>
      </c>
      <c r="DH12" s="215" t="s">
        <v>542</v>
      </c>
      <c r="DI12" s="215" t="s">
        <v>542</v>
      </c>
      <c r="DJ12" s="215" t="s">
        <v>542</v>
      </c>
      <c r="DK12" s="215" t="s">
        <v>542</v>
      </c>
      <c r="DL12" s="215" t="s">
        <v>588</v>
      </c>
      <c r="DM12" s="215" t="s">
        <v>542</v>
      </c>
      <c r="DN12" s="215" t="s">
        <v>542</v>
      </c>
      <c r="DO12" s="215" t="s">
        <v>542</v>
      </c>
      <c r="DP12" s="215" t="s">
        <v>542</v>
      </c>
      <c r="DQ12" s="215" t="s">
        <v>542</v>
      </c>
      <c r="DR12" s="215" t="s">
        <v>542</v>
      </c>
      <c r="DS12" s="215" t="s">
        <v>588</v>
      </c>
      <c r="DT12" s="215" t="s">
        <v>542</v>
      </c>
      <c r="DU12" s="215" t="s">
        <v>542</v>
      </c>
      <c r="DV12" s="215" t="s">
        <v>542</v>
      </c>
      <c r="DW12" s="215" t="s">
        <v>542</v>
      </c>
      <c r="DX12" s="215" t="s">
        <v>542</v>
      </c>
      <c r="DY12" s="215" t="s">
        <v>588</v>
      </c>
      <c r="DZ12" s="215" t="s">
        <v>542</v>
      </c>
      <c r="EA12" s="215" t="s">
        <v>542</v>
      </c>
      <c r="EB12" s="215" t="s">
        <v>542</v>
      </c>
      <c r="EC12" s="215" t="s">
        <v>542</v>
      </c>
      <c r="ED12" s="215" t="s">
        <v>542</v>
      </c>
      <c r="EE12" s="215" t="s">
        <v>588</v>
      </c>
      <c r="EF12" s="215" t="s">
        <v>542</v>
      </c>
      <c r="EG12" s="215" t="s">
        <v>542</v>
      </c>
      <c r="EH12" s="215" t="s">
        <v>542</v>
      </c>
      <c r="EI12" s="215" t="s">
        <v>542</v>
      </c>
      <c r="EJ12" s="215" t="s">
        <v>542</v>
      </c>
      <c r="EK12" s="215" t="s">
        <v>588</v>
      </c>
      <c r="EL12" s="215" t="s">
        <v>542</v>
      </c>
      <c r="EM12" s="215" t="s">
        <v>542</v>
      </c>
      <c r="EN12" s="215" t="s">
        <v>542</v>
      </c>
      <c r="EO12" s="215" t="s">
        <v>542</v>
      </c>
      <c r="EP12" s="215" t="s">
        <v>542</v>
      </c>
      <c r="EQ12" s="215" t="s">
        <v>588</v>
      </c>
      <c r="ER12" s="215" t="s">
        <v>542</v>
      </c>
      <c r="ES12" s="215" t="s">
        <v>588</v>
      </c>
      <c r="ET12" s="215" t="s">
        <v>542</v>
      </c>
      <c r="EU12" s="215" t="s">
        <v>542</v>
      </c>
      <c r="EV12" s="215" t="s">
        <v>542</v>
      </c>
      <c r="EW12" s="215" t="s">
        <v>542</v>
      </c>
      <c r="EX12" s="215" t="s">
        <v>542</v>
      </c>
      <c r="EY12" s="215" t="s">
        <v>542</v>
      </c>
      <c r="EZ12" s="215" t="s">
        <v>588</v>
      </c>
      <c r="FA12" s="215" t="s">
        <v>542</v>
      </c>
      <c r="FB12" s="215" t="s">
        <v>542</v>
      </c>
      <c r="FC12" s="215" t="s">
        <v>542</v>
      </c>
      <c r="FD12" s="215" t="s">
        <v>542</v>
      </c>
      <c r="FE12" s="215" t="s">
        <v>542</v>
      </c>
      <c r="FF12" s="215" t="s">
        <v>588</v>
      </c>
      <c r="FG12" s="215" t="s">
        <v>542</v>
      </c>
      <c r="FH12" s="215" t="s">
        <v>542</v>
      </c>
      <c r="FI12" s="215" t="s">
        <v>542</v>
      </c>
      <c r="FJ12" s="215" t="s">
        <v>542</v>
      </c>
      <c r="FK12" s="215" t="s">
        <v>542</v>
      </c>
      <c r="FL12" s="215" t="s">
        <v>588</v>
      </c>
      <c r="FM12" s="215" t="s">
        <v>542</v>
      </c>
      <c r="FN12" s="215" t="s">
        <v>542</v>
      </c>
      <c r="FO12" s="215" t="s">
        <v>542</v>
      </c>
      <c r="FP12" s="215" t="s">
        <v>542</v>
      </c>
      <c r="FQ12" s="215" t="s">
        <v>542</v>
      </c>
      <c r="FR12" s="215" t="s">
        <v>588</v>
      </c>
      <c r="FS12" s="215" t="s">
        <v>542</v>
      </c>
      <c r="FT12" s="215" t="s">
        <v>542</v>
      </c>
      <c r="FU12" s="215" t="s">
        <v>542</v>
      </c>
      <c r="FV12" s="215" t="s">
        <v>542</v>
      </c>
      <c r="FW12" s="215" t="s">
        <v>542</v>
      </c>
      <c r="FX12" s="215" t="s">
        <v>588</v>
      </c>
      <c r="FY12" s="215" t="s">
        <v>542</v>
      </c>
      <c r="FZ12" s="215" t="s">
        <v>588</v>
      </c>
      <c r="GA12" s="215" t="s">
        <v>542</v>
      </c>
      <c r="GB12" s="215" t="s">
        <v>542</v>
      </c>
      <c r="GC12" s="215" t="s">
        <v>542</v>
      </c>
      <c r="GD12" s="215" t="s">
        <v>542</v>
      </c>
      <c r="GE12" s="215" t="s">
        <v>542</v>
      </c>
      <c r="GF12" s="215" t="s">
        <v>542</v>
      </c>
      <c r="GG12" s="215" t="s">
        <v>542</v>
      </c>
      <c r="GH12" s="215" t="s">
        <v>588</v>
      </c>
      <c r="GI12" s="215" t="s">
        <v>542</v>
      </c>
      <c r="GJ12" s="215" t="s">
        <v>588</v>
      </c>
    </row>
    <row r="13" spans="1:192" x14ac:dyDescent="0.2">
      <c r="A13" s="215" t="s">
        <v>596</v>
      </c>
      <c r="B13" s="215">
        <v>2024</v>
      </c>
      <c r="C13" s="215" t="s">
        <v>541</v>
      </c>
      <c r="D13" s="215" t="s">
        <v>541</v>
      </c>
      <c r="E13" s="215" t="s">
        <v>541</v>
      </c>
      <c r="F13" s="215" t="s">
        <v>542</v>
      </c>
      <c r="G13" s="215" t="s">
        <v>542</v>
      </c>
      <c r="H13" s="215" t="s">
        <v>542</v>
      </c>
      <c r="I13" s="215" t="s">
        <v>588</v>
      </c>
      <c r="J13" s="215" t="s">
        <v>541</v>
      </c>
      <c r="K13" s="215" t="s">
        <v>541</v>
      </c>
      <c r="L13" s="215" t="s">
        <v>541</v>
      </c>
      <c r="M13" s="215" t="s">
        <v>541</v>
      </c>
      <c r="N13" s="215" t="s">
        <v>541</v>
      </c>
      <c r="O13" s="215" t="s">
        <v>542</v>
      </c>
      <c r="P13" s="215" t="s">
        <v>542</v>
      </c>
      <c r="Q13" s="215" t="s">
        <v>542</v>
      </c>
      <c r="R13" s="215" t="s">
        <v>542</v>
      </c>
      <c r="S13" s="215" t="s">
        <v>588</v>
      </c>
      <c r="T13" s="215" t="s">
        <v>542</v>
      </c>
      <c r="U13" s="215" t="s">
        <v>588</v>
      </c>
      <c r="V13" s="215" t="s">
        <v>541</v>
      </c>
      <c r="W13" s="215" t="s">
        <v>541</v>
      </c>
      <c r="X13" s="215" t="s">
        <v>541</v>
      </c>
      <c r="Y13" s="215" t="s">
        <v>541</v>
      </c>
      <c r="Z13" s="215" t="s">
        <v>542</v>
      </c>
      <c r="AA13" s="215" t="s">
        <v>542</v>
      </c>
      <c r="AB13" s="215" t="s">
        <v>542</v>
      </c>
      <c r="AC13" s="215" t="s">
        <v>542</v>
      </c>
      <c r="AD13" s="215" t="s">
        <v>542</v>
      </c>
      <c r="AE13" s="215" t="s">
        <v>542</v>
      </c>
      <c r="AF13" s="215" t="s">
        <v>541</v>
      </c>
      <c r="AG13" s="215" t="s">
        <v>590</v>
      </c>
      <c r="AH13" s="215" t="s">
        <v>542</v>
      </c>
      <c r="AI13" s="215" t="s">
        <v>542</v>
      </c>
      <c r="AJ13" s="215" t="s">
        <v>588</v>
      </c>
      <c r="AK13" s="215" t="s">
        <v>542</v>
      </c>
      <c r="AL13" s="215" t="s">
        <v>588</v>
      </c>
      <c r="AM13" s="215" t="s">
        <v>542</v>
      </c>
      <c r="AN13" s="215" t="s">
        <v>588</v>
      </c>
      <c r="AO13" s="215" t="s">
        <v>542</v>
      </c>
      <c r="AP13" s="215" t="s">
        <v>542</v>
      </c>
      <c r="AQ13" s="215" t="s">
        <v>542</v>
      </c>
      <c r="AR13" s="215" t="s">
        <v>542</v>
      </c>
      <c r="AS13" s="215" t="s">
        <v>542</v>
      </c>
      <c r="AT13" s="215" t="s">
        <v>542</v>
      </c>
      <c r="AU13" s="215" t="s">
        <v>542</v>
      </c>
      <c r="AV13" s="215" t="s">
        <v>542</v>
      </c>
      <c r="AW13" s="215" t="s">
        <v>588</v>
      </c>
      <c r="AX13" s="215" t="s">
        <v>542</v>
      </c>
      <c r="AY13" s="215" t="s">
        <v>588</v>
      </c>
      <c r="AZ13" s="215" t="s">
        <v>542</v>
      </c>
      <c r="BA13" s="215" t="s">
        <v>542</v>
      </c>
      <c r="BB13" s="215" t="s">
        <v>542</v>
      </c>
      <c r="BC13" s="215" t="s">
        <v>542</v>
      </c>
      <c r="BD13" s="215" t="s">
        <v>588</v>
      </c>
      <c r="BE13" s="215" t="s">
        <v>542</v>
      </c>
      <c r="BF13" s="215" t="s">
        <v>542</v>
      </c>
      <c r="BG13" s="215" t="s">
        <v>588</v>
      </c>
      <c r="BH13" s="215" t="s">
        <v>542</v>
      </c>
      <c r="BI13" s="215" t="s">
        <v>542</v>
      </c>
      <c r="BJ13" s="215" t="s">
        <v>542</v>
      </c>
      <c r="BK13" s="215" t="s">
        <v>542</v>
      </c>
      <c r="BL13" s="215" t="s">
        <v>588</v>
      </c>
      <c r="BM13" s="215" t="s">
        <v>542</v>
      </c>
      <c r="BN13" s="215" t="s">
        <v>588</v>
      </c>
      <c r="BO13" s="215" t="s">
        <v>542</v>
      </c>
      <c r="BP13" s="215" t="s">
        <v>542</v>
      </c>
      <c r="BQ13" s="215" t="s">
        <v>542</v>
      </c>
      <c r="BR13" s="215" t="s">
        <v>542</v>
      </c>
      <c r="BS13" s="215" t="s">
        <v>542</v>
      </c>
      <c r="BT13" s="215" t="s">
        <v>542</v>
      </c>
      <c r="BU13" s="215" t="s">
        <v>542</v>
      </c>
      <c r="BV13" s="215" t="s">
        <v>588</v>
      </c>
      <c r="BW13" s="215" t="s">
        <v>541</v>
      </c>
      <c r="BX13" s="215" t="s">
        <v>542</v>
      </c>
      <c r="BY13" s="215" t="s">
        <v>542</v>
      </c>
      <c r="BZ13" s="215" t="s">
        <v>542</v>
      </c>
      <c r="CA13" s="215" t="s">
        <v>542</v>
      </c>
      <c r="CB13" s="215" t="s">
        <v>542</v>
      </c>
      <c r="CC13" s="215" t="s">
        <v>541</v>
      </c>
      <c r="CD13" s="215" t="s">
        <v>541</v>
      </c>
      <c r="CE13" s="215" t="s">
        <v>542</v>
      </c>
      <c r="CF13" s="215" t="s">
        <v>542</v>
      </c>
      <c r="CG13" s="215" t="s">
        <v>542</v>
      </c>
      <c r="CH13" s="215" t="s">
        <v>541</v>
      </c>
      <c r="CI13" s="215" t="s">
        <v>541</v>
      </c>
      <c r="CJ13" s="215" t="s">
        <v>542</v>
      </c>
      <c r="CK13" s="215" t="s">
        <v>542</v>
      </c>
      <c r="CL13" s="215" t="s">
        <v>542</v>
      </c>
      <c r="CM13" s="215" t="s">
        <v>541</v>
      </c>
      <c r="CN13" s="215" t="s">
        <v>541</v>
      </c>
      <c r="CO13" s="215" t="s">
        <v>542</v>
      </c>
      <c r="CP13" s="215" t="s">
        <v>542</v>
      </c>
      <c r="CQ13" s="215" t="s">
        <v>542</v>
      </c>
      <c r="CR13" s="215" t="s">
        <v>542</v>
      </c>
      <c r="CS13" s="215" t="s">
        <v>542</v>
      </c>
      <c r="CT13" s="215" t="s">
        <v>542</v>
      </c>
      <c r="CU13" s="215" t="s">
        <v>542</v>
      </c>
      <c r="CV13" s="215" t="s">
        <v>542</v>
      </c>
      <c r="CW13" s="215" t="s">
        <v>542</v>
      </c>
      <c r="CX13" s="215" t="s">
        <v>541</v>
      </c>
      <c r="CY13" s="215" t="s">
        <v>542</v>
      </c>
      <c r="CZ13" s="215" t="s">
        <v>542</v>
      </c>
      <c r="DA13" s="215" t="s">
        <v>541</v>
      </c>
      <c r="DB13" s="215" t="s">
        <v>542</v>
      </c>
      <c r="DC13" s="215" t="s">
        <v>542</v>
      </c>
      <c r="DD13" s="215" t="s">
        <v>542</v>
      </c>
      <c r="DE13" s="215" t="s">
        <v>542</v>
      </c>
      <c r="DF13" s="215" t="s">
        <v>542</v>
      </c>
      <c r="DG13" s="215" t="s">
        <v>542</v>
      </c>
      <c r="DH13" s="215" t="s">
        <v>542</v>
      </c>
      <c r="DI13" s="215" t="s">
        <v>542</v>
      </c>
      <c r="DJ13" s="215" t="s">
        <v>542</v>
      </c>
      <c r="DK13" s="215" t="s">
        <v>542</v>
      </c>
      <c r="DL13" s="215" t="s">
        <v>588</v>
      </c>
      <c r="DM13" s="215" t="s">
        <v>542</v>
      </c>
      <c r="DN13" s="215" t="s">
        <v>542</v>
      </c>
      <c r="DO13" s="215" t="s">
        <v>542</v>
      </c>
      <c r="DP13" s="215" t="s">
        <v>542</v>
      </c>
      <c r="DQ13" s="215" t="s">
        <v>542</v>
      </c>
      <c r="DR13" s="215" t="s">
        <v>542</v>
      </c>
      <c r="DS13" s="215" t="s">
        <v>588</v>
      </c>
      <c r="DT13" s="215" t="s">
        <v>542</v>
      </c>
      <c r="DU13" s="215" t="s">
        <v>542</v>
      </c>
      <c r="DV13" s="215" t="s">
        <v>542</v>
      </c>
      <c r="DW13" s="215" t="s">
        <v>542</v>
      </c>
      <c r="DX13" s="215" t="s">
        <v>542</v>
      </c>
      <c r="DY13" s="215" t="s">
        <v>588</v>
      </c>
      <c r="DZ13" s="215" t="s">
        <v>542</v>
      </c>
      <c r="EA13" s="215" t="s">
        <v>542</v>
      </c>
      <c r="EB13" s="215" t="s">
        <v>542</v>
      </c>
      <c r="EC13" s="215" t="s">
        <v>542</v>
      </c>
      <c r="ED13" s="215" t="s">
        <v>542</v>
      </c>
      <c r="EE13" s="215" t="s">
        <v>588</v>
      </c>
      <c r="EF13" s="215" t="s">
        <v>542</v>
      </c>
      <c r="EG13" s="215" t="s">
        <v>542</v>
      </c>
      <c r="EH13" s="215" t="s">
        <v>542</v>
      </c>
      <c r="EI13" s="215" t="s">
        <v>542</v>
      </c>
      <c r="EJ13" s="215" t="s">
        <v>542</v>
      </c>
      <c r="EK13" s="215" t="s">
        <v>588</v>
      </c>
      <c r="EL13" s="215" t="s">
        <v>542</v>
      </c>
      <c r="EM13" s="215" t="s">
        <v>542</v>
      </c>
      <c r="EN13" s="215" t="s">
        <v>542</v>
      </c>
      <c r="EO13" s="215" t="s">
        <v>542</v>
      </c>
      <c r="EP13" s="215" t="s">
        <v>542</v>
      </c>
      <c r="EQ13" s="215" t="s">
        <v>588</v>
      </c>
      <c r="ER13" s="215" t="s">
        <v>542</v>
      </c>
      <c r="ES13" s="215" t="s">
        <v>588</v>
      </c>
      <c r="ET13" s="215" t="s">
        <v>542</v>
      </c>
      <c r="EU13" s="215" t="s">
        <v>542</v>
      </c>
      <c r="EV13" s="215" t="s">
        <v>542</v>
      </c>
      <c r="EW13" s="215" t="s">
        <v>542</v>
      </c>
      <c r="EX13" s="215" t="s">
        <v>542</v>
      </c>
      <c r="EY13" s="215" t="s">
        <v>542</v>
      </c>
      <c r="EZ13" s="215" t="s">
        <v>588</v>
      </c>
      <c r="FA13" s="215" t="s">
        <v>542</v>
      </c>
      <c r="FB13" s="215" t="s">
        <v>542</v>
      </c>
      <c r="FC13" s="215" t="s">
        <v>542</v>
      </c>
      <c r="FD13" s="215" t="s">
        <v>542</v>
      </c>
      <c r="FE13" s="215" t="s">
        <v>542</v>
      </c>
      <c r="FF13" s="215" t="s">
        <v>588</v>
      </c>
      <c r="FG13" s="215" t="s">
        <v>542</v>
      </c>
      <c r="FH13" s="215" t="s">
        <v>542</v>
      </c>
      <c r="FI13" s="215" t="s">
        <v>542</v>
      </c>
      <c r="FJ13" s="215" t="s">
        <v>542</v>
      </c>
      <c r="FK13" s="215" t="s">
        <v>542</v>
      </c>
      <c r="FL13" s="215" t="s">
        <v>588</v>
      </c>
      <c r="FM13" s="215" t="s">
        <v>542</v>
      </c>
      <c r="FN13" s="215" t="s">
        <v>542</v>
      </c>
      <c r="FO13" s="215" t="s">
        <v>542</v>
      </c>
      <c r="FP13" s="215" t="s">
        <v>542</v>
      </c>
      <c r="FQ13" s="215" t="s">
        <v>542</v>
      </c>
      <c r="FR13" s="215" t="s">
        <v>588</v>
      </c>
      <c r="FS13" s="215" t="s">
        <v>542</v>
      </c>
      <c r="FT13" s="215" t="s">
        <v>542</v>
      </c>
      <c r="FU13" s="215" t="s">
        <v>542</v>
      </c>
      <c r="FV13" s="215" t="s">
        <v>542</v>
      </c>
      <c r="FW13" s="215" t="s">
        <v>542</v>
      </c>
      <c r="FX13" s="215" t="s">
        <v>588</v>
      </c>
      <c r="FY13" s="215" t="s">
        <v>542</v>
      </c>
      <c r="FZ13" s="215" t="s">
        <v>588</v>
      </c>
      <c r="GA13" s="215" t="s">
        <v>542</v>
      </c>
      <c r="GB13" s="215" t="s">
        <v>542</v>
      </c>
      <c r="GC13" s="215" t="s">
        <v>542</v>
      </c>
      <c r="GD13" s="215" t="s">
        <v>542</v>
      </c>
      <c r="GE13" s="215" t="s">
        <v>542</v>
      </c>
      <c r="GF13" s="215" t="s">
        <v>542</v>
      </c>
      <c r="GG13" s="215" t="s">
        <v>542</v>
      </c>
      <c r="GH13" s="215" t="s">
        <v>588</v>
      </c>
      <c r="GI13" s="215" t="s">
        <v>542</v>
      </c>
      <c r="GJ13" s="215" t="s">
        <v>588</v>
      </c>
    </row>
    <row r="14" spans="1:192" x14ac:dyDescent="0.2">
      <c r="A14" s="215" t="s">
        <v>558</v>
      </c>
      <c r="B14" s="215">
        <v>2025</v>
      </c>
      <c r="C14" s="215" t="s">
        <v>541</v>
      </c>
      <c r="D14" s="215" t="s">
        <v>541</v>
      </c>
      <c r="E14" s="215" t="s">
        <v>541</v>
      </c>
      <c r="F14" s="215" t="s">
        <v>542</v>
      </c>
      <c r="G14" s="215" t="s">
        <v>542</v>
      </c>
      <c r="H14" s="215" t="s">
        <v>542</v>
      </c>
      <c r="I14" s="215" t="s">
        <v>588</v>
      </c>
      <c r="J14" s="215" t="s">
        <v>542</v>
      </c>
      <c r="K14" s="215" t="s">
        <v>542</v>
      </c>
      <c r="L14" s="215" t="s">
        <v>541</v>
      </c>
      <c r="M14" s="215" t="s">
        <v>542</v>
      </c>
      <c r="N14" s="215" t="s">
        <v>542</v>
      </c>
      <c r="O14" s="215" t="s">
        <v>542</v>
      </c>
      <c r="P14" s="215" t="s">
        <v>542</v>
      </c>
      <c r="Q14" s="215" t="s">
        <v>542</v>
      </c>
      <c r="R14" s="215" t="s">
        <v>542</v>
      </c>
      <c r="S14" s="215" t="s">
        <v>588</v>
      </c>
      <c r="T14" s="215" t="s">
        <v>542</v>
      </c>
      <c r="U14" s="215" t="s">
        <v>588</v>
      </c>
      <c r="V14" s="215" t="s">
        <v>541</v>
      </c>
      <c r="W14" s="215" t="s">
        <v>541</v>
      </c>
      <c r="X14" s="215" t="s">
        <v>541</v>
      </c>
      <c r="Y14" s="215" t="s">
        <v>541</v>
      </c>
      <c r="Z14" s="215" t="s">
        <v>541</v>
      </c>
      <c r="AA14" s="215" t="s">
        <v>542</v>
      </c>
      <c r="AB14" s="215" t="s">
        <v>542</v>
      </c>
      <c r="AC14" s="215" t="s">
        <v>542</v>
      </c>
      <c r="AD14" s="215" t="s">
        <v>542</v>
      </c>
      <c r="AE14" s="215" t="s">
        <v>542</v>
      </c>
      <c r="AF14" s="215" t="s">
        <v>542</v>
      </c>
      <c r="AG14" s="215" t="s">
        <v>588</v>
      </c>
      <c r="AH14" s="215" t="s">
        <v>542</v>
      </c>
      <c r="AI14" s="215" t="s">
        <v>542</v>
      </c>
      <c r="AJ14" s="215" t="s">
        <v>588</v>
      </c>
      <c r="AK14" s="215" t="s">
        <v>542</v>
      </c>
      <c r="AL14" s="215" t="s">
        <v>588</v>
      </c>
      <c r="AM14" s="215" t="s">
        <v>542</v>
      </c>
      <c r="AN14" s="215" t="s">
        <v>588</v>
      </c>
      <c r="AO14" s="215" t="s">
        <v>542</v>
      </c>
      <c r="AP14" s="215" t="s">
        <v>542</v>
      </c>
      <c r="AQ14" s="215" t="s">
        <v>542</v>
      </c>
      <c r="AR14" s="215" t="s">
        <v>542</v>
      </c>
      <c r="AS14" s="215" t="s">
        <v>542</v>
      </c>
      <c r="AT14" s="215" t="s">
        <v>542</v>
      </c>
      <c r="AU14" s="215" t="s">
        <v>542</v>
      </c>
      <c r="AV14" s="215" t="s">
        <v>542</v>
      </c>
      <c r="AW14" s="215" t="s">
        <v>588</v>
      </c>
      <c r="AX14" s="215" t="s">
        <v>542</v>
      </c>
      <c r="AY14" s="215" t="s">
        <v>588</v>
      </c>
      <c r="AZ14" s="215" t="s">
        <v>542</v>
      </c>
      <c r="BA14" s="215" t="s">
        <v>542</v>
      </c>
      <c r="BB14" s="215" t="s">
        <v>542</v>
      </c>
      <c r="BC14" s="215" t="s">
        <v>542</v>
      </c>
      <c r="BD14" s="215" t="s">
        <v>588</v>
      </c>
      <c r="BE14" s="215" t="s">
        <v>542</v>
      </c>
      <c r="BF14" s="215" t="s">
        <v>542</v>
      </c>
      <c r="BG14" s="215" t="s">
        <v>588</v>
      </c>
      <c r="BH14" s="215" t="s">
        <v>542</v>
      </c>
      <c r="BI14" s="215" t="s">
        <v>542</v>
      </c>
      <c r="BJ14" s="215" t="s">
        <v>542</v>
      </c>
      <c r="BK14" s="215" t="s">
        <v>542</v>
      </c>
      <c r="BL14" s="215" t="s">
        <v>588</v>
      </c>
      <c r="BM14" s="215" t="s">
        <v>542</v>
      </c>
      <c r="BN14" s="215" t="s">
        <v>588</v>
      </c>
      <c r="BO14" s="215" t="s">
        <v>542</v>
      </c>
      <c r="BP14" s="215" t="s">
        <v>542</v>
      </c>
      <c r="BQ14" s="215" t="s">
        <v>542</v>
      </c>
      <c r="BR14" s="215" t="s">
        <v>542</v>
      </c>
      <c r="BS14" s="215" t="s">
        <v>542</v>
      </c>
      <c r="BT14" s="215" t="s">
        <v>542</v>
      </c>
      <c r="BU14" s="215" t="s">
        <v>542</v>
      </c>
      <c r="BV14" s="215" t="s">
        <v>588</v>
      </c>
      <c r="BW14" s="215" t="s">
        <v>542</v>
      </c>
      <c r="BX14" s="215" t="s">
        <v>542</v>
      </c>
      <c r="BY14" s="215" t="s">
        <v>542</v>
      </c>
      <c r="BZ14" s="215" t="s">
        <v>542</v>
      </c>
      <c r="CA14" s="215" t="s">
        <v>542</v>
      </c>
      <c r="CB14" s="215" t="s">
        <v>542</v>
      </c>
      <c r="CC14" s="215" t="s">
        <v>542</v>
      </c>
      <c r="CD14" s="215" t="s">
        <v>542</v>
      </c>
      <c r="CE14" s="215" t="s">
        <v>542</v>
      </c>
      <c r="CF14" s="215" t="s">
        <v>542</v>
      </c>
      <c r="CG14" s="215" t="s">
        <v>542</v>
      </c>
      <c r="CH14" s="215" t="s">
        <v>542</v>
      </c>
      <c r="CI14" s="215" t="s">
        <v>542</v>
      </c>
      <c r="CJ14" s="215" t="s">
        <v>542</v>
      </c>
      <c r="CK14" s="215" t="s">
        <v>542</v>
      </c>
      <c r="CL14" s="215" t="s">
        <v>542</v>
      </c>
      <c r="CM14" s="215" t="s">
        <v>541</v>
      </c>
      <c r="CN14" s="215" t="s">
        <v>542</v>
      </c>
      <c r="CO14" s="215" t="s">
        <v>542</v>
      </c>
      <c r="CP14" s="215" t="s">
        <v>542</v>
      </c>
      <c r="CQ14" s="215" t="s">
        <v>542</v>
      </c>
      <c r="CR14" s="215" t="s">
        <v>542</v>
      </c>
      <c r="CS14" s="215" t="s">
        <v>542</v>
      </c>
      <c r="CT14" s="215" t="s">
        <v>542</v>
      </c>
      <c r="CU14" s="215" t="s">
        <v>542</v>
      </c>
      <c r="CV14" s="215" t="s">
        <v>542</v>
      </c>
      <c r="CW14" s="215" t="s">
        <v>542</v>
      </c>
      <c r="CX14" s="215" t="s">
        <v>542</v>
      </c>
      <c r="CY14" s="215" t="s">
        <v>542</v>
      </c>
      <c r="CZ14" s="215" t="s">
        <v>542</v>
      </c>
      <c r="DA14" s="215" t="s">
        <v>542</v>
      </c>
      <c r="DB14" s="215" t="s">
        <v>542</v>
      </c>
      <c r="DC14" s="215" t="s">
        <v>542</v>
      </c>
      <c r="DD14" s="215" t="s">
        <v>542</v>
      </c>
      <c r="DE14" s="215" t="s">
        <v>542</v>
      </c>
      <c r="DF14" s="215" t="s">
        <v>542</v>
      </c>
      <c r="DG14" s="215" t="s">
        <v>542</v>
      </c>
      <c r="DH14" s="215" t="s">
        <v>542</v>
      </c>
      <c r="DI14" s="215" t="s">
        <v>542</v>
      </c>
      <c r="DJ14" s="215" t="s">
        <v>542</v>
      </c>
      <c r="DK14" s="215" t="s">
        <v>542</v>
      </c>
      <c r="DL14" s="215" t="s">
        <v>588</v>
      </c>
      <c r="DM14" s="215" t="s">
        <v>542</v>
      </c>
      <c r="DN14" s="215" t="s">
        <v>542</v>
      </c>
      <c r="DO14" s="215" t="s">
        <v>542</v>
      </c>
      <c r="DP14" s="215" t="s">
        <v>542</v>
      </c>
      <c r="DQ14" s="215" t="s">
        <v>542</v>
      </c>
      <c r="DR14" s="215" t="s">
        <v>542</v>
      </c>
      <c r="DS14" s="215" t="s">
        <v>588</v>
      </c>
      <c r="DT14" s="215" t="s">
        <v>542</v>
      </c>
      <c r="DU14" s="215" t="s">
        <v>542</v>
      </c>
      <c r="DV14" s="215" t="s">
        <v>542</v>
      </c>
      <c r="DW14" s="215" t="s">
        <v>542</v>
      </c>
      <c r="DX14" s="215" t="s">
        <v>542</v>
      </c>
      <c r="DY14" s="215" t="s">
        <v>588</v>
      </c>
      <c r="DZ14" s="215" t="s">
        <v>542</v>
      </c>
      <c r="EA14" s="215" t="s">
        <v>542</v>
      </c>
      <c r="EB14" s="215" t="s">
        <v>542</v>
      </c>
      <c r="EC14" s="215" t="s">
        <v>542</v>
      </c>
      <c r="ED14" s="215" t="s">
        <v>542</v>
      </c>
      <c r="EE14" s="215" t="s">
        <v>588</v>
      </c>
      <c r="EF14" s="215" t="s">
        <v>542</v>
      </c>
      <c r="EG14" s="215" t="s">
        <v>542</v>
      </c>
      <c r="EH14" s="215" t="s">
        <v>542</v>
      </c>
      <c r="EI14" s="215" t="s">
        <v>542</v>
      </c>
      <c r="EJ14" s="215" t="s">
        <v>542</v>
      </c>
      <c r="EK14" s="215" t="s">
        <v>588</v>
      </c>
      <c r="EL14" s="215" t="s">
        <v>542</v>
      </c>
      <c r="EM14" s="215" t="s">
        <v>542</v>
      </c>
      <c r="EN14" s="215" t="s">
        <v>542</v>
      </c>
      <c r="EO14" s="215" t="s">
        <v>542</v>
      </c>
      <c r="EP14" s="215" t="s">
        <v>542</v>
      </c>
      <c r="EQ14" s="215" t="s">
        <v>588</v>
      </c>
      <c r="ER14" s="215" t="s">
        <v>542</v>
      </c>
      <c r="ES14" s="215" t="s">
        <v>588</v>
      </c>
      <c r="ET14" s="215" t="s">
        <v>542</v>
      </c>
      <c r="EU14" s="215" t="s">
        <v>542</v>
      </c>
      <c r="EV14" s="215" t="s">
        <v>542</v>
      </c>
      <c r="EW14" s="215" t="s">
        <v>542</v>
      </c>
      <c r="EX14" s="215" t="s">
        <v>542</v>
      </c>
      <c r="EY14" s="215" t="s">
        <v>542</v>
      </c>
      <c r="EZ14" s="215" t="s">
        <v>588</v>
      </c>
      <c r="FA14" s="215" t="s">
        <v>542</v>
      </c>
      <c r="FB14" s="215" t="s">
        <v>542</v>
      </c>
      <c r="FC14" s="215" t="s">
        <v>542</v>
      </c>
      <c r="FD14" s="215" t="s">
        <v>542</v>
      </c>
      <c r="FE14" s="215" t="s">
        <v>542</v>
      </c>
      <c r="FF14" s="215" t="s">
        <v>588</v>
      </c>
      <c r="FG14" s="215" t="s">
        <v>542</v>
      </c>
      <c r="FH14" s="215" t="s">
        <v>542</v>
      </c>
      <c r="FI14" s="215" t="s">
        <v>542</v>
      </c>
      <c r="FJ14" s="215" t="s">
        <v>542</v>
      </c>
      <c r="FK14" s="215" t="s">
        <v>542</v>
      </c>
      <c r="FL14" s="215" t="s">
        <v>588</v>
      </c>
      <c r="FM14" s="215" t="s">
        <v>542</v>
      </c>
      <c r="FN14" s="215" t="s">
        <v>542</v>
      </c>
      <c r="FO14" s="215" t="s">
        <v>542</v>
      </c>
      <c r="FP14" s="215" t="s">
        <v>542</v>
      </c>
      <c r="FQ14" s="215" t="s">
        <v>542</v>
      </c>
      <c r="FR14" s="215" t="s">
        <v>588</v>
      </c>
      <c r="FS14" s="215" t="s">
        <v>542</v>
      </c>
      <c r="FT14" s="215" t="s">
        <v>542</v>
      </c>
      <c r="FU14" s="215" t="s">
        <v>542</v>
      </c>
      <c r="FV14" s="215" t="s">
        <v>542</v>
      </c>
      <c r="FW14" s="215" t="s">
        <v>542</v>
      </c>
      <c r="FX14" s="215" t="s">
        <v>588</v>
      </c>
      <c r="FY14" s="215" t="s">
        <v>542</v>
      </c>
      <c r="FZ14" s="215" t="s">
        <v>588</v>
      </c>
      <c r="GA14" s="215" t="s">
        <v>542</v>
      </c>
      <c r="GB14" s="215" t="s">
        <v>542</v>
      </c>
      <c r="GC14" s="215" t="s">
        <v>542</v>
      </c>
      <c r="GD14" s="215" t="s">
        <v>542</v>
      </c>
      <c r="GE14" s="215" t="s">
        <v>542</v>
      </c>
      <c r="GF14" s="215" t="s">
        <v>542</v>
      </c>
      <c r="GG14" s="215" t="s">
        <v>542</v>
      </c>
      <c r="GH14" s="215" t="s">
        <v>588</v>
      </c>
      <c r="GI14" s="215" t="s">
        <v>542</v>
      </c>
      <c r="GJ14" s="215" t="s">
        <v>588</v>
      </c>
    </row>
    <row r="15" spans="1:192" x14ac:dyDescent="0.2">
      <c r="A15" s="215" t="s">
        <v>559</v>
      </c>
      <c r="B15" s="215">
        <v>2024</v>
      </c>
      <c r="C15" s="215" t="s">
        <v>541</v>
      </c>
      <c r="D15" s="215" t="s">
        <v>541</v>
      </c>
      <c r="E15" s="215" t="s">
        <v>542</v>
      </c>
      <c r="F15" s="215" t="s">
        <v>542</v>
      </c>
      <c r="G15" s="215" t="s">
        <v>542</v>
      </c>
      <c r="H15" s="215" t="s">
        <v>542</v>
      </c>
      <c r="I15" s="215" t="s">
        <v>588</v>
      </c>
      <c r="J15" s="215" t="s">
        <v>541</v>
      </c>
      <c r="K15" s="215" t="s">
        <v>541</v>
      </c>
      <c r="L15" s="215" t="s">
        <v>541</v>
      </c>
      <c r="M15" s="215" t="s">
        <v>542</v>
      </c>
      <c r="N15" s="215" t="s">
        <v>542</v>
      </c>
      <c r="O15" s="215" t="s">
        <v>542</v>
      </c>
      <c r="P15" s="215" t="s">
        <v>542</v>
      </c>
      <c r="Q15" s="215" t="s">
        <v>542</v>
      </c>
      <c r="R15" s="215" t="s">
        <v>542</v>
      </c>
      <c r="S15" s="215" t="s">
        <v>588</v>
      </c>
      <c r="T15" s="215" t="s">
        <v>542</v>
      </c>
      <c r="U15" s="215" t="s">
        <v>588</v>
      </c>
      <c r="V15" s="215" t="s">
        <v>541</v>
      </c>
      <c r="W15" s="215" t="s">
        <v>541</v>
      </c>
      <c r="X15" s="215" t="s">
        <v>541</v>
      </c>
      <c r="Y15" s="215" t="s">
        <v>541</v>
      </c>
      <c r="Z15" s="215" t="s">
        <v>541</v>
      </c>
      <c r="AA15" s="215" t="s">
        <v>542</v>
      </c>
      <c r="AB15" s="215" t="s">
        <v>542</v>
      </c>
      <c r="AC15" s="215" t="s">
        <v>542</v>
      </c>
      <c r="AD15" s="215" t="s">
        <v>542</v>
      </c>
      <c r="AE15" s="215" t="s">
        <v>542</v>
      </c>
      <c r="AF15" s="215" t="s">
        <v>542</v>
      </c>
      <c r="AG15" s="215" t="s">
        <v>588</v>
      </c>
      <c r="AH15" s="215" t="s">
        <v>542</v>
      </c>
      <c r="AI15" s="215" t="s">
        <v>542</v>
      </c>
      <c r="AJ15" s="215" t="s">
        <v>588</v>
      </c>
      <c r="AK15" s="215" t="s">
        <v>542</v>
      </c>
      <c r="AL15" s="215" t="s">
        <v>588</v>
      </c>
      <c r="AM15" s="215" t="s">
        <v>541</v>
      </c>
      <c r="AN15" s="215" t="s">
        <v>597</v>
      </c>
      <c r="AO15" s="215" t="s">
        <v>542</v>
      </c>
      <c r="AP15" s="215" t="s">
        <v>542</v>
      </c>
      <c r="AQ15" s="215" t="s">
        <v>542</v>
      </c>
      <c r="AR15" s="215" t="s">
        <v>542</v>
      </c>
      <c r="AS15" s="215" t="s">
        <v>542</v>
      </c>
      <c r="AT15" s="215" t="s">
        <v>542</v>
      </c>
      <c r="AU15" s="215" t="s">
        <v>542</v>
      </c>
      <c r="AV15" s="215" t="s">
        <v>542</v>
      </c>
      <c r="AW15" s="215" t="s">
        <v>588</v>
      </c>
      <c r="AX15" s="215" t="s">
        <v>542</v>
      </c>
      <c r="AY15" s="215" t="s">
        <v>588</v>
      </c>
      <c r="AZ15" s="215" t="s">
        <v>542</v>
      </c>
      <c r="BA15" s="215" t="s">
        <v>542</v>
      </c>
      <c r="BB15" s="215" t="s">
        <v>542</v>
      </c>
      <c r="BC15" s="215" t="s">
        <v>542</v>
      </c>
      <c r="BD15" s="215" t="s">
        <v>588</v>
      </c>
      <c r="BE15" s="215" t="s">
        <v>542</v>
      </c>
      <c r="BF15" s="215" t="s">
        <v>542</v>
      </c>
      <c r="BG15" s="215" t="s">
        <v>588</v>
      </c>
      <c r="BH15" s="215" t="s">
        <v>542</v>
      </c>
      <c r="BI15" s="215" t="s">
        <v>542</v>
      </c>
      <c r="BJ15" s="215" t="s">
        <v>542</v>
      </c>
      <c r="BK15" s="215" t="s">
        <v>542</v>
      </c>
      <c r="BL15" s="215" t="s">
        <v>588</v>
      </c>
      <c r="BM15" s="215" t="s">
        <v>542</v>
      </c>
      <c r="BN15" s="215" t="s">
        <v>588</v>
      </c>
      <c r="BO15" s="215" t="s">
        <v>542</v>
      </c>
      <c r="BP15" s="215" t="s">
        <v>542</v>
      </c>
      <c r="BQ15" s="215" t="s">
        <v>542</v>
      </c>
      <c r="BR15" s="215" t="s">
        <v>542</v>
      </c>
      <c r="BS15" s="215" t="s">
        <v>542</v>
      </c>
      <c r="BT15" s="215" t="s">
        <v>542</v>
      </c>
      <c r="BU15" s="215" t="s">
        <v>542</v>
      </c>
      <c r="BV15" s="215" t="s">
        <v>588</v>
      </c>
      <c r="BW15" s="215" t="s">
        <v>541</v>
      </c>
      <c r="BX15" s="215" t="s">
        <v>542</v>
      </c>
      <c r="BY15" s="215" t="s">
        <v>542</v>
      </c>
      <c r="BZ15" s="215" t="s">
        <v>542</v>
      </c>
      <c r="CA15" s="215" t="s">
        <v>542</v>
      </c>
      <c r="CB15" s="215" t="s">
        <v>542</v>
      </c>
      <c r="CC15" s="215" t="s">
        <v>542</v>
      </c>
      <c r="CD15" s="215" t="s">
        <v>542</v>
      </c>
      <c r="CE15" s="215" t="s">
        <v>542</v>
      </c>
      <c r="CF15" s="215" t="s">
        <v>542</v>
      </c>
      <c r="CG15" s="215" t="s">
        <v>542</v>
      </c>
      <c r="CH15" s="215" t="s">
        <v>541</v>
      </c>
      <c r="CI15" s="215" t="s">
        <v>541</v>
      </c>
      <c r="CJ15" s="215" t="s">
        <v>542</v>
      </c>
      <c r="CK15" s="215" t="s">
        <v>542</v>
      </c>
      <c r="CL15" s="215" t="s">
        <v>542</v>
      </c>
      <c r="CM15" s="215" t="s">
        <v>541</v>
      </c>
      <c r="CN15" s="215" t="s">
        <v>541</v>
      </c>
      <c r="CO15" s="215" t="s">
        <v>542</v>
      </c>
      <c r="CP15" s="215" t="s">
        <v>542</v>
      </c>
      <c r="CQ15" s="215" t="s">
        <v>542</v>
      </c>
      <c r="CR15" s="215" t="s">
        <v>542</v>
      </c>
      <c r="CS15" s="215" t="s">
        <v>542</v>
      </c>
      <c r="CT15" s="215" t="s">
        <v>542</v>
      </c>
      <c r="CU15" s="215" t="s">
        <v>542</v>
      </c>
      <c r="CV15" s="215" t="s">
        <v>542</v>
      </c>
      <c r="CW15" s="215" t="s">
        <v>542</v>
      </c>
      <c r="CX15" s="215" t="s">
        <v>541</v>
      </c>
      <c r="CY15" s="215" t="s">
        <v>542</v>
      </c>
      <c r="CZ15" s="215" t="s">
        <v>542</v>
      </c>
      <c r="DA15" s="215" t="s">
        <v>541</v>
      </c>
      <c r="DB15" s="215" t="s">
        <v>542</v>
      </c>
      <c r="DC15" s="215" t="s">
        <v>542</v>
      </c>
      <c r="DD15" s="215" t="s">
        <v>542</v>
      </c>
      <c r="DE15" s="215" t="s">
        <v>542</v>
      </c>
      <c r="DF15" s="215" t="s">
        <v>542</v>
      </c>
      <c r="DG15" s="215" t="s">
        <v>542</v>
      </c>
      <c r="DH15" s="215" t="s">
        <v>542</v>
      </c>
      <c r="DI15" s="215" t="s">
        <v>542</v>
      </c>
      <c r="DJ15" s="215" t="s">
        <v>542</v>
      </c>
      <c r="DK15" s="215" t="s">
        <v>542</v>
      </c>
      <c r="DL15" s="215" t="s">
        <v>588</v>
      </c>
      <c r="DM15" s="215" t="s">
        <v>542</v>
      </c>
      <c r="DN15" s="215" t="s">
        <v>542</v>
      </c>
      <c r="DO15" s="215" t="s">
        <v>542</v>
      </c>
      <c r="DP15" s="215" t="s">
        <v>542</v>
      </c>
      <c r="DQ15" s="215" t="s">
        <v>542</v>
      </c>
      <c r="DR15" s="215" t="s">
        <v>542</v>
      </c>
      <c r="DS15" s="215" t="s">
        <v>588</v>
      </c>
      <c r="DT15" s="215" t="s">
        <v>542</v>
      </c>
      <c r="DU15" s="215" t="s">
        <v>542</v>
      </c>
      <c r="DV15" s="215" t="s">
        <v>542</v>
      </c>
      <c r="DW15" s="215" t="s">
        <v>542</v>
      </c>
      <c r="DX15" s="215" t="s">
        <v>542</v>
      </c>
      <c r="DY15" s="215" t="s">
        <v>588</v>
      </c>
      <c r="DZ15" s="215" t="s">
        <v>542</v>
      </c>
      <c r="EA15" s="215" t="s">
        <v>542</v>
      </c>
      <c r="EB15" s="215" t="s">
        <v>542</v>
      </c>
      <c r="EC15" s="215" t="s">
        <v>542</v>
      </c>
      <c r="ED15" s="215" t="s">
        <v>542</v>
      </c>
      <c r="EE15" s="215" t="s">
        <v>588</v>
      </c>
      <c r="EF15" s="215" t="s">
        <v>542</v>
      </c>
      <c r="EG15" s="215" t="s">
        <v>542</v>
      </c>
      <c r="EH15" s="215" t="s">
        <v>542</v>
      </c>
      <c r="EI15" s="215" t="s">
        <v>542</v>
      </c>
      <c r="EJ15" s="215" t="s">
        <v>542</v>
      </c>
      <c r="EK15" s="215" t="s">
        <v>588</v>
      </c>
      <c r="EL15" s="215" t="s">
        <v>542</v>
      </c>
      <c r="EM15" s="215" t="s">
        <v>542</v>
      </c>
      <c r="EN15" s="215" t="s">
        <v>542</v>
      </c>
      <c r="EO15" s="215" t="s">
        <v>542</v>
      </c>
      <c r="EP15" s="215" t="s">
        <v>542</v>
      </c>
      <c r="EQ15" s="215" t="s">
        <v>588</v>
      </c>
      <c r="ER15" s="215" t="s">
        <v>542</v>
      </c>
      <c r="ES15" s="215" t="s">
        <v>588</v>
      </c>
      <c r="ET15" s="215" t="s">
        <v>542</v>
      </c>
      <c r="EU15" s="215" t="s">
        <v>542</v>
      </c>
      <c r="EV15" s="215" t="s">
        <v>542</v>
      </c>
      <c r="EW15" s="215" t="s">
        <v>542</v>
      </c>
      <c r="EX15" s="215" t="s">
        <v>542</v>
      </c>
      <c r="EY15" s="215" t="s">
        <v>542</v>
      </c>
      <c r="EZ15" s="215" t="s">
        <v>588</v>
      </c>
      <c r="FA15" s="215" t="s">
        <v>542</v>
      </c>
      <c r="FB15" s="215" t="s">
        <v>542</v>
      </c>
      <c r="FC15" s="215" t="s">
        <v>542</v>
      </c>
      <c r="FD15" s="215" t="s">
        <v>542</v>
      </c>
      <c r="FE15" s="215" t="s">
        <v>542</v>
      </c>
      <c r="FF15" s="215" t="s">
        <v>588</v>
      </c>
      <c r="FG15" s="215" t="s">
        <v>542</v>
      </c>
      <c r="FH15" s="215" t="s">
        <v>542</v>
      </c>
      <c r="FI15" s="215" t="s">
        <v>542</v>
      </c>
      <c r="FJ15" s="215" t="s">
        <v>542</v>
      </c>
      <c r="FK15" s="215" t="s">
        <v>542</v>
      </c>
      <c r="FL15" s="215" t="s">
        <v>588</v>
      </c>
      <c r="FM15" s="215" t="s">
        <v>542</v>
      </c>
      <c r="FN15" s="215" t="s">
        <v>542</v>
      </c>
      <c r="FO15" s="215" t="s">
        <v>542</v>
      </c>
      <c r="FP15" s="215" t="s">
        <v>542</v>
      </c>
      <c r="FQ15" s="215" t="s">
        <v>542</v>
      </c>
      <c r="FR15" s="215" t="s">
        <v>588</v>
      </c>
      <c r="FS15" s="215" t="s">
        <v>542</v>
      </c>
      <c r="FT15" s="215" t="s">
        <v>542</v>
      </c>
      <c r="FU15" s="215" t="s">
        <v>542</v>
      </c>
      <c r="FV15" s="215" t="s">
        <v>542</v>
      </c>
      <c r="FW15" s="215" t="s">
        <v>542</v>
      </c>
      <c r="FX15" s="215" t="s">
        <v>588</v>
      </c>
      <c r="FY15" s="215" t="s">
        <v>542</v>
      </c>
      <c r="FZ15" s="215" t="s">
        <v>588</v>
      </c>
      <c r="GA15" s="215" t="s">
        <v>542</v>
      </c>
      <c r="GB15" s="215" t="s">
        <v>542</v>
      </c>
      <c r="GC15" s="215" t="s">
        <v>542</v>
      </c>
      <c r="GD15" s="215" t="s">
        <v>542</v>
      </c>
      <c r="GE15" s="215" t="s">
        <v>542</v>
      </c>
      <c r="GF15" s="215" t="s">
        <v>542</v>
      </c>
      <c r="GG15" s="215" t="s">
        <v>542</v>
      </c>
      <c r="GH15" s="215" t="s">
        <v>588</v>
      </c>
      <c r="GI15" s="215" t="s">
        <v>542</v>
      </c>
      <c r="GJ15" s="215" t="s">
        <v>588</v>
      </c>
    </row>
    <row r="16" spans="1:192" x14ac:dyDescent="0.2">
      <c r="A16" s="215" t="s">
        <v>561</v>
      </c>
      <c r="B16" s="215">
        <v>2024</v>
      </c>
      <c r="C16" s="215" t="s">
        <v>541</v>
      </c>
      <c r="D16" s="215" t="s">
        <v>541</v>
      </c>
      <c r="E16" s="215" t="s">
        <v>542</v>
      </c>
      <c r="F16" s="215" t="s">
        <v>542</v>
      </c>
      <c r="G16" s="215" t="s">
        <v>542</v>
      </c>
      <c r="H16" s="215" t="s">
        <v>542</v>
      </c>
      <c r="I16" s="215" t="s">
        <v>588</v>
      </c>
      <c r="J16" s="215" t="s">
        <v>541</v>
      </c>
      <c r="K16" s="215" t="s">
        <v>541</v>
      </c>
      <c r="L16" s="215" t="s">
        <v>541</v>
      </c>
      <c r="M16" s="215" t="s">
        <v>541</v>
      </c>
      <c r="N16" s="215" t="s">
        <v>541</v>
      </c>
      <c r="O16" s="215" t="s">
        <v>541</v>
      </c>
      <c r="P16" s="215" t="s">
        <v>542</v>
      </c>
      <c r="Q16" s="215" t="s">
        <v>542</v>
      </c>
      <c r="R16" s="215" t="s">
        <v>542</v>
      </c>
      <c r="S16" s="215" t="s">
        <v>588</v>
      </c>
      <c r="T16" s="215" t="s">
        <v>542</v>
      </c>
      <c r="U16" s="215" t="s">
        <v>588</v>
      </c>
      <c r="V16" s="215" t="s">
        <v>541</v>
      </c>
      <c r="W16" s="215" t="s">
        <v>541</v>
      </c>
      <c r="X16" s="215" t="s">
        <v>541</v>
      </c>
      <c r="Y16" s="215" t="s">
        <v>541</v>
      </c>
      <c r="Z16" s="215" t="s">
        <v>541</v>
      </c>
      <c r="AA16" s="215" t="s">
        <v>542</v>
      </c>
      <c r="AB16" s="215" t="s">
        <v>542</v>
      </c>
      <c r="AC16" s="215" t="s">
        <v>542</v>
      </c>
      <c r="AD16" s="215" t="s">
        <v>542</v>
      </c>
      <c r="AE16" s="215" t="s">
        <v>542</v>
      </c>
      <c r="AF16" s="215" t="s">
        <v>541</v>
      </c>
      <c r="AG16" s="215" t="s">
        <v>588</v>
      </c>
      <c r="AH16" s="215" t="s">
        <v>541</v>
      </c>
      <c r="AI16" s="215" t="s">
        <v>542</v>
      </c>
      <c r="AJ16" s="215" t="s">
        <v>588</v>
      </c>
      <c r="AK16" s="215" t="s">
        <v>542</v>
      </c>
      <c r="AL16" s="215" t="s">
        <v>588</v>
      </c>
      <c r="AM16" s="215" t="s">
        <v>542</v>
      </c>
      <c r="AN16" s="215" t="s">
        <v>588</v>
      </c>
      <c r="AO16" s="215" t="s">
        <v>542</v>
      </c>
      <c r="AP16" s="215" t="s">
        <v>542</v>
      </c>
      <c r="AQ16" s="215" t="s">
        <v>542</v>
      </c>
      <c r="AR16" s="215" t="s">
        <v>542</v>
      </c>
      <c r="AS16" s="215" t="s">
        <v>542</v>
      </c>
      <c r="AT16" s="215" t="s">
        <v>542</v>
      </c>
      <c r="AU16" s="215" t="s">
        <v>542</v>
      </c>
      <c r="AV16" s="215" t="s">
        <v>542</v>
      </c>
      <c r="AW16" s="215" t="s">
        <v>588</v>
      </c>
      <c r="AX16" s="215" t="s">
        <v>542</v>
      </c>
      <c r="AY16" s="215" t="s">
        <v>588</v>
      </c>
      <c r="AZ16" s="215" t="s">
        <v>542</v>
      </c>
      <c r="BA16" s="215" t="s">
        <v>542</v>
      </c>
      <c r="BB16" s="215" t="s">
        <v>542</v>
      </c>
      <c r="BC16" s="215" t="s">
        <v>542</v>
      </c>
      <c r="BD16" s="215" t="s">
        <v>588</v>
      </c>
      <c r="BE16" s="215" t="s">
        <v>542</v>
      </c>
      <c r="BF16" s="215" t="s">
        <v>542</v>
      </c>
      <c r="BG16" s="215" t="s">
        <v>588</v>
      </c>
      <c r="BH16" s="215" t="s">
        <v>542</v>
      </c>
      <c r="BI16" s="215" t="s">
        <v>542</v>
      </c>
      <c r="BJ16" s="215" t="s">
        <v>542</v>
      </c>
      <c r="BK16" s="215" t="s">
        <v>542</v>
      </c>
      <c r="BL16" s="215" t="s">
        <v>588</v>
      </c>
      <c r="BM16" s="215" t="s">
        <v>542</v>
      </c>
      <c r="BN16" s="215" t="s">
        <v>588</v>
      </c>
      <c r="BO16" s="215" t="s">
        <v>542</v>
      </c>
      <c r="BP16" s="215" t="s">
        <v>542</v>
      </c>
      <c r="BQ16" s="215" t="s">
        <v>542</v>
      </c>
      <c r="BR16" s="215" t="s">
        <v>542</v>
      </c>
      <c r="BS16" s="215" t="s">
        <v>542</v>
      </c>
      <c r="BT16" s="215" t="s">
        <v>542</v>
      </c>
      <c r="BU16" s="215" t="s">
        <v>542</v>
      </c>
      <c r="BV16" s="215" t="s">
        <v>588</v>
      </c>
      <c r="BW16" s="215" t="s">
        <v>541</v>
      </c>
      <c r="BX16" s="215" t="s">
        <v>541</v>
      </c>
      <c r="BY16" s="215" t="s">
        <v>541</v>
      </c>
      <c r="BZ16" s="215" t="s">
        <v>542</v>
      </c>
      <c r="CA16" s="215" t="s">
        <v>542</v>
      </c>
      <c r="CB16" s="215" t="s">
        <v>542</v>
      </c>
      <c r="CC16" s="215" t="s">
        <v>542</v>
      </c>
      <c r="CD16" s="215" t="s">
        <v>542</v>
      </c>
      <c r="CE16" s="215" t="s">
        <v>542</v>
      </c>
      <c r="CF16" s="215" t="s">
        <v>542</v>
      </c>
      <c r="CG16" s="215" t="s">
        <v>542</v>
      </c>
      <c r="CH16" s="215" t="s">
        <v>541</v>
      </c>
      <c r="CI16" s="215" t="s">
        <v>541</v>
      </c>
      <c r="CJ16" s="215" t="s">
        <v>542</v>
      </c>
      <c r="CK16" s="215" t="s">
        <v>542</v>
      </c>
      <c r="CL16" s="215" t="s">
        <v>542</v>
      </c>
      <c r="CM16" s="215" t="s">
        <v>541</v>
      </c>
      <c r="CN16" s="215" t="s">
        <v>542</v>
      </c>
      <c r="CO16" s="215" t="s">
        <v>542</v>
      </c>
      <c r="CP16" s="215" t="s">
        <v>542</v>
      </c>
      <c r="CQ16" s="215" t="s">
        <v>542</v>
      </c>
      <c r="CR16" s="215" t="s">
        <v>542</v>
      </c>
      <c r="CS16" s="215" t="s">
        <v>542</v>
      </c>
      <c r="CT16" s="215" t="s">
        <v>542</v>
      </c>
      <c r="CU16" s="215" t="s">
        <v>542</v>
      </c>
      <c r="CV16" s="215" t="s">
        <v>542</v>
      </c>
      <c r="CW16" s="215" t="s">
        <v>542</v>
      </c>
      <c r="CX16" s="215" t="s">
        <v>542</v>
      </c>
      <c r="CY16" s="215" t="s">
        <v>542</v>
      </c>
      <c r="CZ16" s="215" t="s">
        <v>542</v>
      </c>
      <c r="DA16" s="215" t="s">
        <v>542</v>
      </c>
      <c r="DB16" s="215" t="s">
        <v>542</v>
      </c>
      <c r="DC16" s="215" t="s">
        <v>542</v>
      </c>
      <c r="DD16" s="215" t="s">
        <v>542</v>
      </c>
      <c r="DE16" s="215" t="s">
        <v>542</v>
      </c>
      <c r="DF16" s="215" t="s">
        <v>542</v>
      </c>
      <c r="DG16" s="215" t="s">
        <v>542</v>
      </c>
      <c r="DH16" s="215" t="s">
        <v>542</v>
      </c>
      <c r="DI16" s="215" t="s">
        <v>542</v>
      </c>
      <c r="DJ16" s="215" t="s">
        <v>542</v>
      </c>
      <c r="DK16" s="215" t="s">
        <v>542</v>
      </c>
      <c r="DL16" s="215" t="s">
        <v>588</v>
      </c>
      <c r="DM16" s="215" t="s">
        <v>542</v>
      </c>
      <c r="DN16" s="215" t="s">
        <v>542</v>
      </c>
      <c r="DO16" s="215" t="s">
        <v>542</v>
      </c>
      <c r="DP16" s="215" t="s">
        <v>542</v>
      </c>
      <c r="DQ16" s="215" t="s">
        <v>542</v>
      </c>
      <c r="DR16" s="215" t="s">
        <v>542</v>
      </c>
      <c r="DS16" s="215" t="s">
        <v>588</v>
      </c>
      <c r="DT16" s="215" t="s">
        <v>542</v>
      </c>
      <c r="DU16" s="215" t="s">
        <v>542</v>
      </c>
      <c r="DV16" s="215" t="s">
        <v>542</v>
      </c>
      <c r="DW16" s="215" t="s">
        <v>542</v>
      </c>
      <c r="DX16" s="215" t="s">
        <v>542</v>
      </c>
      <c r="DY16" s="215" t="s">
        <v>588</v>
      </c>
      <c r="DZ16" s="215" t="s">
        <v>542</v>
      </c>
      <c r="EA16" s="215" t="s">
        <v>542</v>
      </c>
      <c r="EB16" s="215" t="s">
        <v>542</v>
      </c>
      <c r="EC16" s="215" t="s">
        <v>542</v>
      </c>
      <c r="ED16" s="215" t="s">
        <v>542</v>
      </c>
      <c r="EE16" s="215" t="s">
        <v>588</v>
      </c>
      <c r="EF16" s="215" t="s">
        <v>542</v>
      </c>
      <c r="EG16" s="215" t="s">
        <v>542</v>
      </c>
      <c r="EH16" s="215" t="s">
        <v>542</v>
      </c>
      <c r="EI16" s="215" t="s">
        <v>542</v>
      </c>
      <c r="EJ16" s="215" t="s">
        <v>542</v>
      </c>
      <c r="EK16" s="215" t="s">
        <v>588</v>
      </c>
      <c r="EL16" s="215" t="s">
        <v>542</v>
      </c>
      <c r="EM16" s="215" t="s">
        <v>542</v>
      </c>
      <c r="EN16" s="215" t="s">
        <v>542</v>
      </c>
      <c r="EO16" s="215" t="s">
        <v>542</v>
      </c>
      <c r="EP16" s="215" t="s">
        <v>542</v>
      </c>
      <c r="EQ16" s="215" t="s">
        <v>588</v>
      </c>
      <c r="ER16" s="215" t="s">
        <v>542</v>
      </c>
      <c r="ES16" s="215" t="s">
        <v>588</v>
      </c>
      <c r="ET16" s="215" t="s">
        <v>542</v>
      </c>
      <c r="EU16" s="215" t="s">
        <v>542</v>
      </c>
      <c r="EV16" s="215" t="s">
        <v>542</v>
      </c>
      <c r="EW16" s="215" t="s">
        <v>542</v>
      </c>
      <c r="EX16" s="215" t="s">
        <v>542</v>
      </c>
      <c r="EY16" s="215" t="s">
        <v>542</v>
      </c>
      <c r="EZ16" s="215" t="s">
        <v>588</v>
      </c>
      <c r="FA16" s="215" t="s">
        <v>542</v>
      </c>
      <c r="FB16" s="215" t="s">
        <v>542</v>
      </c>
      <c r="FC16" s="215" t="s">
        <v>542</v>
      </c>
      <c r="FD16" s="215" t="s">
        <v>542</v>
      </c>
      <c r="FE16" s="215" t="s">
        <v>542</v>
      </c>
      <c r="FF16" s="215" t="s">
        <v>588</v>
      </c>
      <c r="FG16" s="215" t="s">
        <v>542</v>
      </c>
      <c r="FH16" s="215" t="s">
        <v>542</v>
      </c>
      <c r="FI16" s="215" t="s">
        <v>542</v>
      </c>
      <c r="FJ16" s="215" t="s">
        <v>542</v>
      </c>
      <c r="FK16" s="215" t="s">
        <v>542</v>
      </c>
      <c r="FL16" s="215" t="s">
        <v>588</v>
      </c>
      <c r="FM16" s="215" t="s">
        <v>542</v>
      </c>
      <c r="FN16" s="215" t="s">
        <v>542</v>
      </c>
      <c r="FO16" s="215" t="s">
        <v>542</v>
      </c>
      <c r="FP16" s="215" t="s">
        <v>542</v>
      </c>
      <c r="FQ16" s="215" t="s">
        <v>542</v>
      </c>
      <c r="FR16" s="215" t="s">
        <v>588</v>
      </c>
      <c r="FS16" s="215" t="s">
        <v>542</v>
      </c>
      <c r="FT16" s="215" t="s">
        <v>542</v>
      </c>
      <c r="FU16" s="215" t="s">
        <v>542</v>
      </c>
      <c r="FV16" s="215" t="s">
        <v>542</v>
      </c>
      <c r="FW16" s="215" t="s">
        <v>542</v>
      </c>
      <c r="FX16" s="215" t="s">
        <v>588</v>
      </c>
      <c r="FY16" s="215" t="s">
        <v>542</v>
      </c>
      <c r="FZ16" s="215" t="s">
        <v>588</v>
      </c>
      <c r="GA16" s="215" t="s">
        <v>542</v>
      </c>
      <c r="GB16" s="215" t="s">
        <v>542</v>
      </c>
      <c r="GC16" s="215" t="s">
        <v>542</v>
      </c>
      <c r="GD16" s="215" t="s">
        <v>542</v>
      </c>
      <c r="GE16" s="215" t="s">
        <v>542</v>
      </c>
      <c r="GF16" s="215" t="s">
        <v>542</v>
      </c>
      <c r="GG16" s="215" t="s">
        <v>542</v>
      </c>
      <c r="GH16" s="215" t="s">
        <v>588</v>
      </c>
      <c r="GI16" s="215" t="s">
        <v>542</v>
      </c>
      <c r="GJ16" s="215" t="s">
        <v>588</v>
      </c>
    </row>
    <row r="17" spans="1:192" x14ac:dyDescent="0.2">
      <c r="A17" s="215" t="s">
        <v>562</v>
      </c>
      <c r="B17" s="215">
        <v>2025</v>
      </c>
      <c r="C17" s="215" t="s">
        <v>541</v>
      </c>
      <c r="D17" s="215" t="s">
        <v>541</v>
      </c>
      <c r="E17" s="215" t="s">
        <v>542</v>
      </c>
      <c r="F17" s="215" t="s">
        <v>542</v>
      </c>
      <c r="G17" s="215" t="s">
        <v>541</v>
      </c>
      <c r="H17" s="215" t="s">
        <v>542</v>
      </c>
      <c r="I17" s="215" t="s">
        <v>588</v>
      </c>
      <c r="J17" s="215" t="s">
        <v>541</v>
      </c>
      <c r="K17" s="215" t="s">
        <v>541</v>
      </c>
      <c r="L17" s="215" t="s">
        <v>541</v>
      </c>
      <c r="M17" s="215" t="s">
        <v>541</v>
      </c>
      <c r="N17" s="215" t="s">
        <v>541</v>
      </c>
      <c r="O17" s="215" t="s">
        <v>541</v>
      </c>
      <c r="P17" s="215" t="s">
        <v>542</v>
      </c>
      <c r="Q17" s="215" t="s">
        <v>542</v>
      </c>
      <c r="R17" s="215" t="s">
        <v>542</v>
      </c>
      <c r="S17" s="215" t="s">
        <v>588</v>
      </c>
      <c r="T17" s="215" t="s">
        <v>542</v>
      </c>
      <c r="U17" s="215" t="s">
        <v>588</v>
      </c>
      <c r="V17" s="215" t="s">
        <v>541</v>
      </c>
      <c r="W17" s="215" t="s">
        <v>541</v>
      </c>
      <c r="X17" s="215" t="s">
        <v>541</v>
      </c>
      <c r="Y17" s="215" t="s">
        <v>541</v>
      </c>
      <c r="Z17" s="215" t="s">
        <v>541</v>
      </c>
      <c r="AA17" s="215" t="s">
        <v>542</v>
      </c>
      <c r="AB17" s="215" t="s">
        <v>542</v>
      </c>
      <c r="AC17" s="215" t="s">
        <v>542</v>
      </c>
      <c r="AD17" s="215" t="s">
        <v>542</v>
      </c>
      <c r="AE17" s="215" t="s">
        <v>542</v>
      </c>
      <c r="AF17" s="215" t="s">
        <v>541</v>
      </c>
      <c r="AG17" s="215" t="s">
        <v>588</v>
      </c>
      <c r="AH17" s="215" t="s">
        <v>541</v>
      </c>
      <c r="AI17" s="215" t="s">
        <v>542</v>
      </c>
      <c r="AJ17" s="215" t="s">
        <v>588</v>
      </c>
      <c r="AK17" s="215" t="s">
        <v>542</v>
      </c>
      <c r="AL17" s="215" t="s">
        <v>588</v>
      </c>
      <c r="AM17" s="215" t="s">
        <v>541</v>
      </c>
      <c r="AN17" s="215" t="s">
        <v>598</v>
      </c>
      <c r="AO17" s="215" t="s">
        <v>542</v>
      </c>
      <c r="AP17" s="215" t="s">
        <v>542</v>
      </c>
      <c r="AQ17" s="215" t="s">
        <v>542</v>
      </c>
      <c r="AR17" s="215" t="s">
        <v>542</v>
      </c>
      <c r="AS17" s="215" t="s">
        <v>542</v>
      </c>
      <c r="AT17" s="215" t="s">
        <v>542</v>
      </c>
      <c r="AU17" s="215" t="s">
        <v>542</v>
      </c>
      <c r="AV17" s="215" t="s">
        <v>542</v>
      </c>
      <c r="AW17" s="215" t="s">
        <v>588</v>
      </c>
      <c r="AX17" s="215" t="s">
        <v>542</v>
      </c>
      <c r="AY17" s="215" t="s">
        <v>588</v>
      </c>
      <c r="AZ17" s="215" t="s">
        <v>542</v>
      </c>
      <c r="BA17" s="215" t="s">
        <v>542</v>
      </c>
      <c r="BB17" s="215" t="s">
        <v>542</v>
      </c>
      <c r="BC17" s="215" t="s">
        <v>542</v>
      </c>
      <c r="BD17" s="215" t="s">
        <v>588</v>
      </c>
      <c r="BE17" s="215" t="s">
        <v>542</v>
      </c>
      <c r="BF17" s="215" t="s">
        <v>542</v>
      </c>
      <c r="BG17" s="215" t="s">
        <v>588</v>
      </c>
      <c r="BH17" s="215" t="s">
        <v>542</v>
      </c>
      <c r="BI17" s="215" t="s">
        <v>542</v>
      </c>
      <c r="BJ17" s="215" t="s">
        <v>542</v>
      </c>
      <c r="BK17" s="215" t="s">
        <v>542</v>
      </c>
      <c r="BL17" s="215" t="s">
        <v>588</v>
      </c>
      <c r="BM17" s="215" t="s">
        <v>542</v>
      </c>
      <c r="BN17" s="215" t="s">
        <v>588</v>
      </c>
      <c r="BO17" s="215" t="s">
        <v>542</v>
      </c>
      <c r="BP17" s="215" t="s">
        <v>542</v>
      </c>
      <c r="BQ17" s="215" t="s">
        <v>542</v>
      </c>
      <c r="BR17" s="215" t="s">
        <v>542</v>
      </c>
      <c r="BS17" s="215" t="s">
        <v>542</v>
      </c>
      <c r="BT17" s="215" t="s">
        <v>542</v>
      </c>
      <c r="BU17" s="215" t="s">
        <v>542</v>
      </c>
      <c r="BV17" s="215" t="s">
        <v>588</v>
      </c>
      <c r="BW17" s="215" t="s">
        <v>541</v>
      </c>
      <c r="BX17" s="215" t="s">
        <v>541</v>
      </c>
      <c r="BY17" s="215" t="s">
        <v>541</v>
      </c>
      <c r="BZ17" s="215" t="s">
        <v>542</v>
      </c>
      <c r="CA17" s="215" t="s">
        <v>542</v>
      </c>
      <c r="CB17" s="215" t="s">
        <v>542</v>
      </c>
      <c r="CC17" s="215" t="s">
        <v>542</v>
      </c>
      <c r="CD17" s="215" t="s">
        <v>542</v>
      </c>
      <c r="CE17" s="215" t="s">
        <v>542</v>
      </c>
      <c r="CF17" s="215" t="s">
        <v>542</v>
      </c>
      <c r="CG17" s="215" t="s">
        <v>542</v>
      </c>
      <c r="CH17" s="215" t="s">
        <v>542</v>
      </c>
      <c r="CI17" s="215" t="s">
        <v>542</v>
      </c>
      <c r="CJ17" s="215" t="s">
        <v>542</v>
      </c>
      <c r="CK17" s="215" t="s">
        <v>542</v>
      </c>
      <c r="CL17" s="215" t="s">
        <v>542</v>
      </c>
      <c r="CM17" s="215" t="s">
        <v>542</v>
      </c>
      <c r="CN17" s="215" t="s">
        <v>542</v>
      </c>
      <c r="CO17" s="215" t="s">
        <v>542</v>
      </c>
      <c r="CP17" s="215" t="s">
        <v>542</v>
      </c>
      <c r="CQ17" s="215" t="s">
        <v>542</v>
      </c>
      <c r="CR17" s="215" t="s">
        <v>542</v>
      </c>
      <c r="CS17" s="215" t="s">
        <v>542</v>
      </c>
      <c r="CT17" s="215" t="s">
        <v>542</v>
      </c>
      <c r="CU17" s="215" t="s">
        <v>542</v>
      </c>
      <c r="CV17" s="215" t="s">
        <v>542</v>
      </c>
      <c r="CW17" s="215" t="s">
        <v>542</v>
      </c>
      <c r="CX17" s="215" t="s">
        <v>542</v>
      </c>
      <c r="CY17" s="215" t="s">
        <v>542</v>
      </c>
      <c r="CZ17" s="215" t="s">
        <v>542</v>
      </c>
      <c r="DA17" s="215" t="s">
        <v>542</v>
      </c>
      <c r="DB17" s="215" t="s">
        <v>542</v>
      </c>
      <c r="DC17" s="215" t="s">
        <v>542</v>
      </c>
      <c r="DD17" s="215" t="s">
        <v>542</v>
      </c>
      <c r="DE17" s="215" t="s">
        <v>542</v>
      </c>
      <c r="DF17" s="215" t="s">
        <v>542</v>
      </c>
      <c r="DG17" s="215" t="s">
        <v>542</v>
      </c>
      <c r="DH17" s="215" t="s">
        <v>542</v>
      </c>
      <c r="DI17" s="215" t="s">
        <v>542</v>
      </c>
      <c r="DJ17" s="215" t="s">
        <v>542</v>
      </c>
      <c r="DK17" s="215" t="s">
        <v>542</v>
      </c>
      <c r="DL17" s="215" t="s">
        <v>588</v>
      </c>
      <c r="DM17" s="215" t="s">
        <v>542</v>
      </c>
      <c r="DN17" s="215" t="s">
        <v>542</v>
      </c>
      <c r="DO17" s="215" t="s">
        <v>542</v>
      </c>
      <c r="DP17" s="215" t="s">
        <v>542</v>
      </c>
      <c r="DQ17" s="215" t="s">
        <v>542</v>
      </c>
      <c r="DR17" s="215" t="s">
        <v>542</v>
      </c>
      <c r="DS17" s="215" t="s">
        <v>588</v>
      </c>
      <c r="DT17" s="215" t="s">
        <v>542</v>
      </c>
      <c r="DU17" s="215" t="s">
        <v>542</v>
      </c>
      <c r="DV17" s="215" t="s">
        <v>542</v>
      </c>
      <c r="DW17" s="215" t="s">
        <v>542</v>
      </c>
      <c r="DX17" s="215" t="s">
        <v>542</v>
      </c>
      <c r="DY17" s="215" t="s">
        <v>588</v>
      </c>
      <c r="DZ17" s="215" t="s">
        <v>542</v>
      </c>
      <c r="EA17" s="215" t="s">
        <v>542</v>
      </c>
      <c r="EB17" s="215" t="s">
        <v>542</v>
      </c>
      <c r="EC17" s="215" t="s">
        <v>542</v>
      </c>
      <c r="ED17" s="215" t="s">
        <v>542</v>
      </c>
      <c r="EE17" s="215" t="s">
        <v>588</v>
      </c>
      <c r="EF17" s="215" t="s">
        <v>542</v>
      </c>
      <c r="EG17" s="215" t="s">
        <v>542</v>
      </c>
      <c r="EH17" s="215" t="s">
        <v>542</v>
      </c>
      <c r="EI17" s="215" t="s">
        <v>542</v>
      </c>
      <c r="EJ17" s="215" t="s">
        <v>542</v>
      </c>
      <c r="EK17" s="215" t="s">
        <v>588</v>
      </c>
      <c r="EL17" s="215" t="s">
        <v>542</v>
      </c>
      <c r="EM17" s="215" t="s">
        <v>542</v>
      </c>
      <c r="EN17" s="215" t="s">
        <v>542</v>
      </c>
      <c r="EO17" s="215" t="s">
        <v>542</v>
      </c>
      <c r="EP17" s="215" t="s">
        <v>542</v>
      </c>
      <c r="EQ17" s="215" t="s">
        <v>588</v>
      </c>
      <c r="ER17" s="215" t="s">
        <v>542</v>
      </c>
      <c r="ES17" s="215" t="s">
        <v>588</v>
      </c>
      <c r="ET17" s="215" t="s">
        <v>542</v>
      </c>
      <c r="EU17" s="215" t="s">
        <v>542</v>
      </c>
      <c r="EV17" s="215" t="s">
        <v>542</v>
      </c>
      <c r="EW17" s="215" t="s">
        <v>542</v>
      </c>
      <c r="EX17" s="215" t="s">
        <v>542</v>
      </c>
      <c r="EY17" s="215" t="s">
        <v>542</v>
      </c>
      <c r="EZ17" s="215" t="s">
        <v>588</v>
      </c>
      <c r="FA17" s="215" t="s">
        <v>542</v>
      </c>
      <c r="FB17" s="215" t="s">
        <v>542</v>
      </c>
      <c r="FC17" s="215" t="s">
        <v>542</v>
      </c>
      <c r="FD17" s="215" t="s">
        <v>542</v>
      </c>
      <c r="FE17" s="215" t="s">
        <v>542</v>
      </c>
      <c r="FF17" s="215" t="s">
        <v>588</v>
      </c>
      <c r="FG17" s="215" t="s">
        <v>542</v>
      </c>
      <c r="FH17" s="215" t="s">
        <v>542</v>
      </c>
      <c r="FI17" s="215" t="s">
        <v>542</v>
      </c>
      <c r="FJ17" s="215" t="s">
        <v>542</v>
      </c>
      <c r="FK17" s="215" t="s">
        <v>542</v>
      </c>
      <c r="FL17" s="215" t="s">
        <v>588</v>
      </c>
      <c r="FM17" s="215" t="s">
        <v>542</v>
      </c>
      <c r="FN17" s="215" t="s">
        <v>542</v>
      </c>
      <c r="FO17" s="215" t="s">
        <v>542</v>
      </c>
      <c r="FP17" s="215" t="s">
        <v>542</v>
      </c>
      <c r="FQ17" s="215" t="s">
        <v>542</v>
      </c>
      <c r="FR17" s="215" t="s">
        <v>588</v>
      </c>
      <c r="FS17" s="215" t="s">
        <v>542</v>
      </c>
      <c r="FT17" s="215" t="s">
        <v>542</v>
      </c>
      <c r="FU17" s="215" t="s">
        <v>542</v>
      </c>
      <c r="FV17" s="215" t="s">
        <v>542</v>
      </c>
      <c r="FW17" s="215" t="s">
        <v>542</v>
      </c>
      <c r="FX17" s="215" t="s">
        <v>588</v>
      </c>
      <c r="FY17" s="215" t="s">
        <v>542</v>
      </c>
      <c r="FZ17" s="215" t="s">
        <v>588</v>
      </c>
      <c r="GA17" s="215" t="s">
        <v>542</v>
      </c>
      <c r="GB17" s="215" t="s">
        <v>542</v>
      </c>
      <c r="GC17" s="215" t="s">
        <v>542</v>
      </c>
      <c r="GD17" s="215" t="s">
        <v>542</v>
      </c>
      <c r="GE17" s="215" t="s">
        <v>542</v>
      </c>
      <c r="GF17" s="215" t="s">
        <v>542</v>
      </c>
      <c r="GG17" s="215" t="s">
        <v>542</v>
      </c>
      <c r="GH17" s="215" t="s">
        <v>588</v>
      </c>
      <c r="GI17" s="215" t="s">
        <v>542</v>
      </c>
      <c r="GJ17" s="215" t="s">
        <v>588</v>
      </c>
    </row>
    <row r="18" spans="1:192" x14ac:dyDescent="0.2">
      <c r="A18" s="215" t="s">
        <v>564</v>
      </c>
      <c r="B18" s="215">
        <v>2024</v>
      </c>
      <c r="C18" s="215" t="s">
        <v>541</v>
      </c>
      <c r="D18" s="215" t="s">
        <v>541</v>
      </c>
      <c r="E18" s="215" t="s">
        <v>541</v>
      </c>
      <c r="F18" s="215" t="s">
        <v>542</v>
      </c>
      <c r="G18" s="215" t="s">
        <v>542</v>
      </c>
      <c r="H18" s="215" t="s">
        <v>542</v>
      </c>
      <c r="I18" s="215" t="s">
        <v>588</v>
      </c>
      <c r="J18" s="215" t="s">
        <v>541</v>
      </c>
      <c r="K18" s="215" t="s">
        <v>541</v>
      </c>
      <c r="L18" s="215" t="s">
        <v>542</v>
      </c>
      <c r="M18" s="215" t="s">
        <v>542</v>
      </c>
      <c r="N18" s="215" t="s">
        <v>542</v>
      </c>
      <c r="O18" s="215" t="s">
        <v>542</v>
      </c>
      <c r="P18" s="215" t="s">
        <v>542</v>
      </c>
      <c r="Q18" s="215" t="s">
        <v>542</v>
      </c>
      <c r="R18" s="215" t="s">
        <v>542</v>
      </c>
      <c r="S18" s="215" t="s">
        <v>588</v>
      </c>
      <c r="T18" s="215" t="s">
        <v>542</v>
      </c>
      <c r="U18" s="215" t="s">
        <v>588</v>
      </c>
      <c r="V18" s="215" t="s">
        <v>542</v>
      </c>
      <c r="W18" s="215" t="s">
        <v>542</v>
      </c>
      <c r="X18" s="215" t="s">
        <v>542</v>
      </c>
      <c r="Y18" s="215" t="s">
        <v>542</v>
      </c>
      <c r="Z18" s="215" t="s">
        <v>542</v>
      </c>
      <c r="AA18" s="215" t="s">
        <v>542</v>
      </c>
      <c r="AB18" s="215" t="s">
        <v>542</v>
      </c>
      <c r="AC18" s="215" t="s">
        <v>542</v>
      </c>
      <c r="AD18" s="215" t="s">
        <v>542</v>
      </c>
      <c r="AE18" s="215" t="s">
        <v>542</v>
      </c>
      <c r="AF18" s="215" t="s">
        <v>542</v>
      </c>
      <c r="AG18" s="215" t="s">
        <v>588</v>
      </c>
      <c r="AH18" s="215" t="s">
        <v>542</v>
      </c>
      <c r="AI18" s="215" t="s">
        <v>542</v>
      </c>
      <c r="AJ18" s="215" t="s">
        <v>588</v>
      </c>
      <c r="AK18" s="215" t="s">
        <v>542</v>
      </c>
      <c r="AL18" s="215" t="s">
        <v>588</v>
      </c>
      <c r="AM18" s="215" t="s">
        <v>542</v>
      </c>
      <c r="AN18" s="215" t="s">
        <v>599</v>
      </c>
      <c r="AO18" s="215" t="s">
        <v>542</v>
      </c>
      <c r="AP18" s="215" t="s">
        <v>542</v>
      </c>
      <c r="AQ18" s="215" t="s">
        <v>542</v>
      </c>
      <c r="AR18" s="215" t="s">
        <v>542</v>
      </c>
      <c r="AS18" s="215" t="s">
        <v>542</v>
      </c>
      <c r="AT18" s="215" t="s">
        <v>542</v>
      </c>
      <c r="AU18" s="215" t="s">
        <v>542</v>
      </c>
      <c r="AV18" s="215" t="s">
        <v>542</v>
      </c>
      <c r="AW18" s="215" t="s">
        <v>588</v>
      </c>
      <c r="AX18" s="215" t="s">
        <v>542</v>
      </c>
      <c r="AY18" s="215" t="s">
        <v>588</v>
      </c>
      <c r="AZ18" s="215" t="s">
        <v>542</v>
      </c>
      <c r="BA18" s="215" t="s">
        <v>542</v>
      </c>
      <c r="BB18" s="215" t="s">
        <v>542</v>
      </c>
      <c r="BC18" s="215" t="s">
        <v>542</v>
      </c>
      <c r="BD18" s="215" t="s">
        <v>588</v>
      </c>
      <c r="BE18" s="215" t="s">
        <v>542</v>
      </c>
      <c r="BF18" s="215" t="s">
        <v>542</v>
      </c>
      <c r="BG18" s="215" t="s">
        <v>588</v>
      </c>
      <c r="BH18" s="215" t="s">
        <v>542</v>
      </c>
      <c r="BI18" s="215" t="s">
        <v>542</v>
      </c>
      <c r="BJ18" s="215" t="s">
        <v>542</v>
      </c>
      <c r="BK18" s="215" t="s">
        <v>542</v>
      </c>
      <c r="BL18" s="215" t="s">
        <v>588</v>
      </c>
      <c r="BM18" s="215" t="s">
        <v>542</v>
      </c>
      <c r="BN18" s="215" t="s">
        <v>588</v>
      </c>
      <c r="BO18" s="215" t="s">
        <v>542</v>
      </c>
      <c r="BP18" s="215" t="s">
        <v>542</v>
      </c>
      <c r="BQ18" s="215" t="s">
        <v>542</v>
      </c>
      <c r="BR18" s="215" t="s">
        <v>542</v>
      </c>
      <c r="BS18" s="215" t="s">
        <v>542</v>
      </c>
      <c r="BT18" s="215" t="s">
        <v>542</v>
      </c>
      <c r="BU18" s="215" t="s">
        <v>542</v>
      </c>
      <c r="BV18" s="215" t="s">
        <v>588</v>
      </c>
      <c r="BW18" s="215" t="s">
        <v>541</v>
      </c>
      <c r="BX18" s="215" t="s">
        <v>541</v>
      </c>
      <c r="BY18" s="215" t="s">
        <v>541</v>
      </c>
      <c r="BZ18" s="215" t="s">
        <v>542</v>
      </c>
      <c r="CA18" s="215" t="s">
        <v>542</v>
      </c>
      <c r="CB18" s="215" t="s">
        <v>542</v>
      </c>
      <c r="CC18" s="215" t="s">
        <v>541</v>
      </c>
      <c r="CD18" s="215" t="s">
        <v>541</v>
      </c>
      <c r="CE18" s="215" t="s">
        <v>542</v>
      </c>
      <c r="CF18" s="215" t="s">
        <v>542</v>
      </c>
      <c r="CG18" s="215" t="s">
        <v>542</v>
      </c>
      <c r="CH18" s="215" t="s">
        <v>541</v>
      </c>
      <c r="CI18" s="215" t="s">
        <v>541</v>
      </c>
      <c r="CJ18" s="215" t="s">
        <v>542</v>
      </c>
      <c r="CK18" s="215" t="s">
        <v>542</v>
      </c>
      <c r="CL18" s="215" t="s">
        <v>542</v>
      </c>
      <c r="CM18" s="215" t="s">
        <v>542</v>
      </c>
      <c r="CN18" s="215" t="s">
        <v>542</v>
      </c>
      <c r="CO18" s="215" t="s">
        <v>542</v>
      </c>
      <c r="CP18" s="215" t="s">
        <v>542</v>
      </c>
      <c r="CQ18" s="215" t="s">
        <v>542</v>
      </c>
      <c r="CR18" s="215" t="s">
        <v>542</v>
      </c>
      <c r="CS18" s="215" t="s">
        <v>542</v>
      </c>
      <c r="CT18" s="215" t="s">
        <v>542</v>
      </c>
      <c r="CU18" s="215" t="s">
        <v>542</v>
      </c>
      <c r="CV18" s="215" t="s">
        <v>542</v>
      </c>
      <c r="CW18" s="215" t="s">
        <v>542</v>
      </c>
      <c r="CX18" s="215" t="s">
        <v>542</v>
      </c>
      <c r="CY18" s="215" t="s">
        <v>542</v>
      </c>
      <c r="CZ18" s="215" t="s">
        <v>542</v>
      </c>
      <c r="DA18" s="215" t="s">
        <v>542</v>
      </c>
      <c r="DB18" s="215" t="s">
        <v>542</v>
      </c>
      <c r="DC18" s="215" t="s">
        <v>542</v>
      </c>
      <c r="DD18" s="215" t="s">
        <v>542</v>
      </c>
      <c r="DE18" s="215" t="s">
        <v>542</v>
      </c>
      <c r="DF18" s="215" t="s">
        <v>542</v>
      </c>
      <c r="DG18" s="215" t="s">
        <v>542</v>
      </c>
      <c r="DH18" s="215" t="s">
        <v>542</v>
      </c>
      <c r="DI18" s="215" t="s">
        <v>542</v>
      </c>
      <c r="DJ18" s="215" t="s">
        <v>542</v>
      </c>
      <c r="DK18" s="215" t="s">
        <v>542</v>
      </c>
      <c r="DL18" s="215" t="s">
        <v>588</v>
      </c>
      <c r="DM18" s="215" t="s">
        <v>542</v>
      </c>
      <c r="DN18" s="215" t="s">
        <v>542</v>
      </c>
      <c r="DO18" s="215" t="s">
        <v>542</v>
      </c>
      <c r="DP18" s="215" t="s">
        <v>542</v>
      </c>
      <c r="DQ18" s="215" t="s">
        <v>542</v>
      </c>
      <c r="DR18" s="215" t="s">
        <v>542</v>
      </c>
      <c r="DS18" s="215" t="s">
        <v>588</v>
      </c>
      <c r="DT18" s="215" t="s">
        <v>542</v>
      </c>
      <c r="DU18" s="215" t="s">
        <v>542</v>
      </c>
      <c r="DV18" s="215" t="s">
        <v>542</v>
      </c>
      <c r="DW18" s="215" t="s">
        <v>542</v>
      </c>
      <c r="DX18" s="215" t="s">
        <v>542</v>
      </c>
      <c r="DY18" s="215" t="s">
        <v>588</v>
      </c>
      <c r="DZ18" s="215" t="s">
        <v>542</v>
      </c>
      <c r="EA18" s="215" t="s">
        <v>542</v>
      </c>
      <c r="EB18" s="215" t="s">
        <v>542</v>
      </c>
      <c r="EC18" s="215" t="s">
        <v>542</v>
      </c>
      <c r="ED18" s="215" t="s">
        <v>542</v>
      </c>
      <c r="EE18" s="215" t="s">
        <v>588</v>
      </c>
      <c r="EF18" s="215" t="s">
        <v>542</v>
      </c>
      <c r="EG18" s="215" t="s">
        <v>542</v>
      </c>
      <c r="EH18" s="215" t="s">
        <v>542</v>
      </c>
      <c r="EI18" s="215" t="s">
        <v>542</v>
      </c>
      <c r="EJ18" s="215" t="s">
        <v>542</v>
      </c>
      <c r="EK18" s="215" t="s">
        <v>588</v>
      </c>
      <c r="EL18" s="215" t="s">
        <v>542</v>
      </c>
      <c r="EM18" s="215" t="s">
        <v>542</v>
      </c>
      <c r="EN18" s="215" t="s">
        <v>542</v>
      </c>
      <c r="EO18" s="215" t="s">
        <v>542</v>
      </c>
      <c r="EP18" s="215" t="s">
        <v>542</v>
      </c>
      <c r="EQ18" s="215" t="s">
        <v>588</v>
      </c>
      <c r="ER18" s="215" t="s">
        <v>542</v>
      </c>
      <c r="ES18" s="215" t="s">
        <v>588</v>
      </c>
      <c r="ET18" s="215" t="s">
        <v>542</v>
      </c>
      <c r="EU18" s="215" t="s">
        <v>542</v>
      </c>
      <c r="EV18" s="215" t="s">
        <v>542</v>
      </c>
      <c r="EW18" s="215" t="s">
        <v>542</v>
      </c>
      <c r="EX18" s="215" t="s">
        <v>542</v>
      </c>
      <c r="EY18" s="215" t="s">
        <v>542</v>
      </c>
      <c r="EZ18" s="215" t="s">
        <v>588</v>
      </c>
      <c r="FA18" s="215" t="s">
        <v>542</v>
      </c>
      <c r="FB18" s="215" t="s">
        <v>542</v>
      </c>
      <c r="FC18" s="215" t="s">
        <v>542</v>
      </c>
      <c r="FD18" s="215" t="s">
        <v>542</v>
      </c>
      <c r="FE18" s="215" t="s">
        <v>542</v>
      </c>
      <c r="FF18" s="215" t="s">
        <v>588</v>
      </c>
      <c r="FG18" s="215" t="s">
        <v>542</v>
      </c>
      <c r="FH18" s="215" t="s">
        <v>542</v>
      </c>
      <c r="FI18" s="215" t="s">
        <v>542</v>
      </c>
      <c r="FJ18" s="215" t="s">
        <v>542</v>
      </c>
      <c r="FK18" s="215" t="s">
        <v>542</v>
      </c>
      <c r="FL18" s="215" t="s">
        <v>588</v>
      </c>
      <c r="FM18" s="215" t="s">
        <v>542</v>
      </c>
      <c r="FN18" s="215" t="s">
        <v>542</v>
      </c>
      <c r="FO18" s="215" t="s">
        <v>542</v>
      </c>
      <c r="FP18" s="215" t="s">
        <v>542</v>
      </c>
      <c r="FQ18" s="215" t="s">
        <v>542</v>
      </c>
      <c r="FR18" s="215" t="s">
        <v>588</v>
      </c>
      <c r="FS18" s="215" t="s">
        <v>542</v>
      </c>
      <c r="FT18" s="215" t="s">
        <v>542</v>
      </c>
      <c r="FU18" s="215" t="s">
        <v>542</v>
      </c>
      <c r="FV18" s="215" t="s">
        <v>542</v>
      </c>
      <c r="FW18" s="215" t="s">
        <v>542</v>
      </c>
      <c r="FX18" s="215" t="s">
        <v>588</v>
      </c>
      <c r="FY18" s="215" t="s">
        <v>542</v>
      </c>
      <c r="FZ18" s="215" t="s">
        <v>588</v>
      </c>
      <c r="GA18" s="215" t="s">
        <v>542</v>
      </c>
      <c r="GB18" s="215" t="s">
        <v>542</v>
      </c>
      <c r="GC18" s="215" t="s">
        <v>542</v>
      </c>
      <c r="GD18" s="215" t="s">
        <v>542</v>
      </c>
      <c r="GE18" s="215" t="s">
        <v>542</v>
      </c>
      <c r="GF18" s="215" t="s">
        <v>542</v>
      </c>
      <c r="GG18" s="215" t="s">
        <v>542</v>
      </c>
      <c r="GH18" s="215" t="s">
        <v>588</v>
      </c>
      <c r="GI18" s="215" t="s">
        <v>542</v>
      </c>
      <c r="GJ18" s="215" t="s">
        <v>588</v>
      </c>
    </row>
    <row r="19" spans="1:192" x14ac:dyDescent="0.2">
      <c r="A19" s="215" t="s">
        <v>566</v>
      </c>
      <c r="B19" s="215">
        <v>2024</v>
      </c>
      <c r="C19" s="215" t="s">
        <v>541</v>
      </c>
      <c r="D19" s="215" t="s">
        <v>541</v>
      </c>
      <c r="E19" s="215" t="s">
        <v>541</v>
      </c>
      <c r="F19" s="215" t="s">
        <v>542</v>
      </c>
      <c r="G19" s="215" t="s">
        <v>542</v>
      </c>
      <c r="H19" s="215" t="s">
        <v>542</v>
      </c>
      <c r="I19" s="215" t="s">
        <v>588</v>
      </c>
      <c r="J19" s="215" t="s">
        <v>542</v>
      </c>
      <c r="K19" s="215" t="s">
        <v>542</v>
      </c>
      <c r="L19" s="215" t="s">
        <v>542</v>
      </c>
      <c r="M19" s="215" t="s">
        <v>542</v>
      </c>
      <c r="N19" s="215" t="s">
        <v>542</v>
      </c>
      <c r="O19" s="215" t="s">
        <v>542</v>
      </c>
      <c r="P19" s="215" t="s">
        <v>542</v>
      </c>
      <c r="Q19" s="215" t="s">
        <v>542</v>
      </c>
      <c r="R19" s="215" t="s">
        <v>542</v>
      </c>
      <c r="S19" s="215" t="s">
        <v>588</v>
      </c>
      <c r="T19" s="215" t="s">
        <v>542</v>
      </c>
      <c r="U19" s="215" t="s">
        <v>588</v>
      </c>
      <c r="V19" s="215" t="s">
        <v>541</v>
      </c>
      <c r="W19" s="215" t="s">
        <v>541</v>
      </c>
      <c r="X19" s="215" t="s">
        <v>541</v>
      </c>
      <c r="Y19" s="215" t="s">
        <v>541</v>
      </c>
      <c r="Z19" s="215" t="s">
        <v>541</v>
      </c>
      <c r="AA19" s="215" t="s">
        <v>541</v>
      </c>
      <c r="AB19" s="215" t="s">
        <v>541</v>
      </c>
      <c r="AC19" s="215" t="s">
        <v>541</v>
      </c>
      <c r="AD19" s="215" t="s">
        <v>542</v>
      </c>
      <c r="AE19" s="215" t="s">
        <v>542</v>
      </c>
      <c r="AF19" s="215" t="s">
        <v>542</v>
      </c>
      <c r="AG19" s="215" t="s">
        <v>588</v>
      </c>
      <c r="AH19" s="215" t="s">
        <v>542</v>
      </c>
      <c r="AI19" s="215" t="s">
        <v>542</v>
      </c>
      <c r="AJ19" s="215" t="s">
        <v>588</v>
      </c>
      <c r="AK19" s="215" t="s">
        <v>542</v>
      </c>
      <c r="AL19" s="215" t="s">
        <v>588</v>
      </c>
      <c r="AM19" s="215" t="s">
        <v>541</v>
      </c>
      <c r="AN19" s="215" t="s">
        <v>600</v>
      </c>
      <c r="AO19" s="215" t="s">
        <v>542</v>
      </c>
      <c r="AP19" s="215" t="s">
        <v>542</v>
      </c>
      <c r="AQ19" s="215" t="s">
        <v>542</v>
      </c>
      <c r="AR19" s="215" t="s">
        <v>542</v>
      </c>
      <c r="AS19" s="215" t="s">
        <v>542</v>
      </c>
      <c r="AT19" s="215" t="s">
        <v>542</v>
      </c>
      <c r="AU19" s="215" t="s">
        <v>542</v>
      </c>
      <c r="AV19" s="215" t="s">
        <v>542</v>
      </c>
      <c r="AW19" s="215" t="s">
        <v>588</v>
      </c>
      <c r="AX19" s="215" t="s">
        <v>542</v>
      </c>
      <c r="AY19" s="215" t="s">
        <v>588</v>
      </c>
      <c r="AZ19" s="215" t="s">
        <v>542</v>
      </c>
      <c r="BA19" s="215" t="s">
        <v>542</v>
      </c>
      <c r="BB19" s="215" t="s">
        <v>542</v>
      </c>
      <c r="BC19" s="215" t="s">
        <v>542</v>
      </c>
      <c r="BD19" s="215" t="s">
        <v>588</v>
      </c>
      <c r="BE19" s="215" t="s">
        <v>542</v>
      </c>
      <c r="BF19" s="215" t="s">
        <v>542</v>
      </c>
      <c r="BG19" s="215" t="s">
        <v>588</v>
      </c>
      <c r="BH19" s="215" t="s">
        <v>542</v>
      </c>
      <c r="BI19" s="215" t="s">
        <v>542</v>
      </c>
      <c r="BJ19" s="215" t="s">
        <v>542</v>
      </c>
      <c r="BK19" s="215" t="s">
        <v>542</v>
      </c>
      <c r="BL19" s="215" t="s">
        <v>588</v>
      </c>
      <c r="BM19" s="215" t="s">
        <v>542</v>
      </c>
      <c r="BN19" s="215" t="s">
        <v>588</v>
      </c>
      <c r="BO19" s="215" t="s">
        <v>542</v>
      </c>
      <c r="BP19" s="215" t="s">
        <v>542</v>
      </c>
      <c r="BQ19" s="215" t="s">
        <v>542</v>
      </c>
      <c r="BR19" s="215" t="s">
        <v>542</v>
      </c>
      <c r="BS19" s="215" t="s">
        <v>542</v>
      </c>
      <c r="BT19" s="215" t="s">
        <v>542</v>
      </c>
      <c r="BU19" s="215" t="s">
        <v>542</v>
      </c>
      <c r="BV19" s="215" t="s">
        <v>588</v>
      </c>
      <c r="BW19" s="215" t="s">
        <v>542</v>
      </c>
      <c r="BX19" s="215" t="s">
        <v>542</v>
      </c>
      <c r="BY19" s="215" t="s">
        <v>542</v>
      </c>
      <c r="BZ19" s="215" t="s">
        <v>542</v>
      </c>
      <c r="CA19" s="215" t="s">
        <v>542</v>
      </c>
      <c r="CB19" s="215" t="s">
        <v>542</v>
      </c>
      <c r="CC19" s="215" t="s">
        <v>542</v>
      </c>
      <c r="CD19" s="215" t="s">
        <v>542</v>
      </c>
      <c r="CE19" s="215" t="s">
        <v>542</v>
      </c>
      <c r="CF19" s="215" t="s">
        <v>542</v>
      </c>
      <c r="CG19" s="215" t="s">
        <v>542</v>
      </c>
      <c r="CH19" s="215" t="s">
        <v>542</v>
      </c>
      <c r="CI19" s="215" t="s">
        <v>542</v>
      </c>
      <c r="CJ19" s="215" t="s">
        <v>542</v>
      </c>
      <c r="CK19" s="215" t="s">
        <v>542</v>
      </c>
      <c r="CL19" s="215" t="s">
        <v>542</v>
      </c>
      <c r="CM19" s="215" t="s">
        <v>542</v>
      </c>
      <c r="CN19" s="215" t="s">
        <v>542</v>
      </c>
      <c r="CO19" s="215" t="s">
        <v>542</v>
      </c>
      <c r="CP19" s="215" t="s">
        <v>542</v>
      </c>
      <c r="CQ19" s="215" t="s">
        <v>542</v>
      </c>
      <c r="CR19" s="215" t="s">
        <v>542</v>
      </c>
      <c r="CS19" s="215" t="s">
        <v>542</v>
      </c>
      <c r="CT19" s="215" t="s">
        <v>542</v>
      </c>
      <c r="CU19" s="215" t="s">
        <v>542</v>
      </c>
      <c r="CV19" s="215" t="s">
        <v>542</v>
      </c>
      <c r="CW19" s="215" t="s">
        <v>542</v>
      </c>
      <c r="CX19" s="215" t="s">
        <v>542</v>
      </c>
      <c r="CY19" s="215" t="s">
        <v>542</v>
      </c>
      <c r="CZ19" s="215" t="s">
        <v>542</v>
      </c>
      <c r="DA19" s="215" t="s">
        <v>542</v>
      </c>
      <c r="DB19" s="215" t="s">
        <v>542</v>
      </c>
      <c r="DC19" s="215" t="s">
        <v>542</v>
      </c>
      <c r="DD19" s="215" t="s">
        <v>542</v>
      </c>
      <c r="DE19" s="215" t="s">
        <v>542</v>
      </c>
      <c r="DF19" s="215" t="s">
        <v>542</v>
      </c>
      <c r="DG19" s="215" t="s">
        <v>542</v>
      </c>
      <c r="DH19" s="215" t="s">
        <v>542</v>
      </c>
      <c r="DI19" s="215" t="s">
        <v>542</v>
      </c>
      <c r="DJ19" s="215" t="s">
        <v>542</v>
      </c>
      <c r="DK19" s="215" t="s">
        <v>542</v>
      </c>
      <c r="DL19" s="215" t="s">
        <v>588</v>
      </c>
      <c r="DM19" s="215" t="s">
        <v>542</v>
      </c>
      <c r="DN19" s="215" t="s">
        <v>542</v>
      </c>
      <c r="DO19" s="215" t="s">
        <v>542</v>
      </c>
      <c r="DP19" s="215" t="s">
        <v>542</v>
      </c>
      <c r="DQ19" s="215" t="s">
        <v>542</v>
      </c>
      <c r="DR19" s="215" t="s">
        <v>542</v>
      </c>
      <c r="DS19" s="215" t="s">
        <v>588</v>
      </c>
      <c r="DT19" s="215" t="s">
        <v>542</v>
      </c>
      <c r="DU19" s="215" t="s">
        <v>542</v>
      </c>
      <c r="DV19" s="215" t="s">
        <v>542</v>
      </c>
      <c r="DW19" s="215" t="s">
        <v>542</v>
      </c>
      <c r="DX19" s="215" t="s">
        <v>542</v>
      </c>
      <c r="DY19" s="215" t="s">
        <v>588</v>
      </c>
      <c r="DZ19" s="215" t="s">
        <v>542</v>
      </c>
      <c r="EA19" s="215" t="s">
        <v>542</v>
      </c>
      <c r="EB19" s="215" t="s">
        <v>542</v>
      </c>
      <c r="EC19" s="215" t="s">
        <v>542</v>
      </c>
      <c r="ED19" s="215" t="s">
        <v>542</v>
      </c>
      <c r="EE19" s="215" t="s">
        <v>588</v>
      </c>
      <c r="EF19" s="215" t="s">
        <v>542</v>
      </c>
      <c r="EG19" s="215" t="s">
        <v>542</v>
      </c>
      <c r="EH19" s="215" t="s">
        <v>542</v>
      </c>
      <c r="EI19" s="215" t="s">
        <v>542</v>
      </c>
      <c r="EJ19" s="215" t="s">
        <v>542</v>
      </c>
      <c r="EK19" s="215" t="s">
        <v>588</v>
      </c>
      <c r="EL19" s="215" t="s">
        <v>542</v>
      </c>
      <c r="EM19" s="215" t="s">
        <v>542</v>
      </c>
      <c r="EN19" s="215" t="s">
        <v>542</v>
      </c>
      <c r="EO19" s="215" t="s">
        <v>542</v>
      </c>
      <c r="EP19" s="215" t="s">
        <v>542</v>
      </c>
      <c r="EQ19" s="215" t="s">
        <v>588</v>
      </c>
      <c r="ER19" s="215" t="s">
        <v>542</v>
      </c>
      <c r="ES19" s="215" t="s">
        <v>588</v>
      </c>
      <c r="ET19" s="215" t="s">
        <v>542</v>
      </c>
      <c r="EU19" s="215" t="s">
        <v>542</v>
      </c>
      <c r="EV19" s="215" t="s">
        <v>542</v>
      </c>
      <c r="EW19" s="215" t="s">
        <v>542</v>
      </c>
      <c r="EX19" s="215" t="s">
        <v>542</v>
      </c>
      <c r="EY19" s="215" t="s">
        <v>542</v>
      </c>
      <c r="EZ19" s="215" t="s">
        <v>588</v>
      </c>
      <c r="FA19" s="215" t="s">
        <v>542</v>
      </c>
      <c r="FB19" s="215" t="s">
        <v>542</v>
      </c>
      <c r="FC19" s="215" t="s">
        <v>542</v>
      </c>
      <c r="FD19" s="215" t="s">
        <v>542</v>
      </c>
      <c r="FE19" s="215" t="s">
        <v>542</v>
      </c>
      <c r="FF19" s="215" t="s">
        <v>588</v>
      </c>
      <c r="FG19" s="215" t="s">
        <v>542</v>
      </c>
      <c r="FH19" s="215" t="s">
        <v>542</v>
      </c>
      <c r="FI19" s="215" t="s">
        <v>542</v>
      </c>
      <c r="FJ19" s="215" t="s">
        <v>542</v>
      </c>
      <c r="FK19" s="215" t="s">
        <v>542</v>
      </c>
      <c r="FL19" s="215" t="s">
        <v>588</v>
      </c>
      <c r="FM19" s="215" t="s">
        <v>542</v>
      </c>
      <c r="FN19" s="215" t="s">
        <v>542</v>
      </c>
      <c r="FO19" s="215" t="s">
        <v>542</v>
      </c>
      <c r="FP19" s="215" t="s">
        <v>542</v>
      </c>
      <c r="FQ19" s="215" t="s">
        <v>542</v>
      </c>
      <c r="FR19" s="215" t="s">
        <v>588</v>
      </c>
      <c r="FS19" s="215" t="s">
        <v>542</v>
      </c>
      <c r="FT19" s="215" t="s">
        <v>542</v>
      </c>
      <c r="FU19" s="215" t="s">
        <v>542</v>
      </c>
      <c r="FV19" s="215" t="s">
        <v>542</v>
      </c>
      <c r="FW19" s="215" t="s">
        <v>542</v>
      </c>
      <c r="FX19" s="215" t="s">
        <v>588</v>
      </c>
      <c r="FY19" s="215" t="s">
        <v>542</v>
      </c>
      <c r="FZ19" s="215" t="s">
        <v>588</v>
      </c>
      <c r="GA19" s="215" t="s">
        <v>542</v>
      </c>
      <c r="GB19" s="215" t="s">
        <v>542</v>
      </c>
      <c r="GC19" s="215" t="s">
        <v>542</v>
      </c>
      <c r="GD19" s="215" t="s">
        <v>542</v>
      </c>
      <c r="GE19" s="215" t="s">
        <v>542</v>
      </c>
      <c r="GF19" s="215" t="s">
        <v>542</v>
      </c>
      <c r="GG19" s="215" t="s">
        <v>542</v>
      </c>
      <c r="GH19" s="215" t="s">
        <v>588</v>
      </c>
      <c r="GI19" s="215" t="s">
        <v>542</v>
      </c>
      <c r="GJ19" s="215" t="s">
        <v>588</v>
      </c>
    </row>
    <row r="20" spans="1:192" x14ac:dyDescent="0.2">
      <c r="A20" s="215" t="s">
        <v>568</v>
      </c>
      <c r="B20" s="215">
        <v>2024</v>
      </c>
      <c r="C20" s="215" t="s">
        <v>541</v>
      </c>
      <c r="D20" s="215" t="s">
        <v>541</v>
      </c>
      <c r="E20" s="215" t="s">
        <v>541</v>
      </c>
      <c r="F20" s="215" t="s">
        <v>542</v>
      </c>
      <c r="G20" s="215" t="s">
        <v>542</v>
      </c>
      <c r="H20" s="215" t="s">
        <v>542</v>
      </c>
      <c r="I20" s="215" t="s">
        <v>588</v>
      </c>
      <c r="J20" s="215" t="s">
        <v>542</v>
      </c>
      <c r="K20" s="215" t="s">
        <v>542</v>
      </c>
      <c r="L20" s="215" t="s">
        <v>542</v>
      </c>
      <c r="M20" s="215" t="s">
        <v>542</v>
      </c>
      <c r="N20" s="215" t="s">
        <v>542</v>
      </c>
      <c r="O20" s="215" t="s">
        <v>542</v>
      </c>
      <c r="P20" s="215" t="s">
        <v>542</v>
      </c>
      <c r="Q20" s="215" t="s">
        <v>542</v>
      </c>
      <c r="R20" s="215" t="s">
        <v>542</v>
      </c>
      <c r="S20" s="215" t="s">
        <v>588</v>
      </c>
      <c r="T20" s="215" t="s">
        <v>542</v>
      </c>
      <c r="U20" s="215" t="s">
        <v>588</v>
      </c>
      <c r="V20" s="215" t="s">
        <v>542</v>
      </c>
      <c r="W20" s="215" t="s">
        <v>542</v>
      </c>
      <c r="X20" s="215" t="s">
        <v>542</v>
      </c>
      <c r="Y20" s="215" t="s">
        <v>542</v>
      </c>
      <c r="Z20" s="215" t="s">
        <v>542</v>
      </c>
      <c r="AA20" s="215" t="s">
        <v>542</v>
      </c>
      <c r="AB20" s="215" t="s">
        <v>542</v>
      </c>
      <c r="AC20" s="215" t="s">
        <v>542</v>
      </c>
      <c r="AD20" s="215" t="s">
        <v>542</v>
      </c>
      <c r="AE20" s="215" t="s">
        <v>542</v>
      </c>
      <c r="AF20" s="215" t="s">
        <v>542</v>
      </c>
      <c r="AG20" s="215" t="s">
        <v>588</v>
      </c>
      <c r="AH20" s="215" t="s">
        <v>542</v>
      </c>
      <c r="AI20" s="215" t="s">
        <v>542</v>
      </c>
      <c r="AJ20" s="215" t="s">
        <v>588</v>
      </c>
      <c r="AK20" s="215" t="s">
        <v>542</v>
      </c>
      <c r="AL20" s="215" t="s">
        <v>588</v>
      </c>
      <c r="AM20" s="215" t="s">
        <v>542</v>
      </c>
      <c r="AN20" s="215" t="s">
        <v>588</v>
      </c>
      <c r="AO20" s="215" t="s">
        <v>542</v>
      </c>
      <c r="AP20" s="215" t="s">
        <v>542</v>
      </c>
      <c r="AQ20" s="215" t="s">
        <v>542</v>
      </c>
      <c r="AR20" s="215" t="s">
        <v>542</v>
      </c>
      <c r="AS20" s="215" t="s">
        <v>542</v>
      </c>
      <c r="AT20" s="215" t="s">
        <v>542</v>
      </c>
      <c r="AU20" s="215" t="s">
        <v>542</v>
      </c>
      <c r="AV20" s="215" t="s">
        <v>542</v>
      </c>
      <c r="AW20" s="215" t="s">
        <v>588</v>
      </c>
      <c r="AX20" s="215" t="s">
        <v>542</v>
      </c>
      <c r="AY20" s="215" t="s">
        <v>588</v>
      </c>
      <c r="AZ20" s="215" t="s">
        <v>542</v>
      </c>
      <c r="BA20" s="215" t="s">
        <v>542</v>
      </c>
      <c r="BB20" s="215" t="s">
        <v>542</v>
      </c>
      <c r="BC20" s="215" t="s">
        <v>542</v>
      </c>
      <c r="BD20" s="215" t="s">
        <v>588</v>
      </c>
      <c r="BE20" s="215" t="s">
        <v>542</v>
      </c>
      <c r="BF20" s="215" t="s">
        <v>542</v>
      </c>
      <c r="BG20" s="215" t="s">
        <v>588</v>
      </c>
      <c r="BH20" s="215" t="s">
        <v>542</v>
      </c>
      <c r="BI20" s="215" t="s">
        <v>542</v>
      </c>
      <c r="BJ20" s="215" t="s">
        <v>542</v>
      </c>
      <c r="BK20" s="215" t="s">
        <v>542</v>
      </c>
      <c r="BL20" s="215" t="s">
        <v>588</v>
      </c>
      <c r="BM20" s="215" t="s">
        <v>542</v>
      </c>
      <c r="BN20" s="215" t="s">
        <v>588</v>
      </c>
      <c r="BO20" s="215" t="s">
        <v>542</v>
      </c>
      <c r="BP20" s="215" t="s">
        <v>542</v>
      </c>
      <c r="BQ20" s="215" t="s">
        <v>542</v>
      </c>
      <c r="BR20" s="215" t="s">
        <v>542</v>
      </c>
      <c r="BS20" s="215" t="s">
        <v>542</v>
      </c>
      <c r="BT20" s="215" t="s">
        <v>542</v>
      </c>
      <c r="BU20" s="215" t="s">
        <v>542</v>
      </c>
      <c r="BV20" s="215" t="s">
        <v>588</v>
      </c>
      <c r="BW20" s="215" t="s">
        <v>541</v>
      </c>
      <c r="BX20" s="215" t="s">
        <v>541</v>
      </c>
      <c r="BY20" s="215" t="s">
        <v>541</v>
      </c>
      <c r="BZ20" s="215" t="s">
        <v>541</v>
      </c>
      <c r="CA20" s="215" t="s">
        <v>541</v>
      </c>
      <c r="CB20" s="215" t="s">
        <v>541</v>
      </c>
      <c r="CC20" s="215" t="s">
        <v>542</v>
      </c>
      <c r="CD20" s="215" t="s">
        <v>542</v>
      </c>
      <c r="CE20" s="215" t="s">
        <v>542</v>
      </c>
      <c r="CF20" s="215" t="s">
        <v>542</v>
      </c>
      <c r="CG20" s="215" t="s">
        <v>542</v>
      </c>
      <c r="CH20" s="215" t="s">
        <v>542</v>
      </c>
      <c r="CI20" s="215" t="s">
        <v>542</v>
      </c>
      <c r="CJ20" s="215" t="s">
        <v>542</v>
      </c>
      <c r="CK20" s="215" t="s">
        <v>542</v>
      </c>
      <c r="CL20" s="215" t="s">
        <v>542</v>
      </c>
      <c r="CM20" s="215" t="s">
        <v>542</v>
      </c>
      <c r="CN20" s="215" t="s">
        <v>541</v>
      </c>
      <c r="CO20" s="215" t="s">
        <v>541</v>
      </c>
      <c r="CP20" s="215" t="s">
        <v>541</v>
      </c>
      <c r="CQ20" s="215" t="s">
        <v>542</v>
      </c>
      <c r="CR20" s="215" t="s">
        <v>542</v>
      </c>
      <c r="CS20" s="215" t="s">
        <v>541</v>
      </c>
      <c r="CT20" s="215" t="s">
        <v>542</v>
      </c>
      <c r="CU20" s="215" t="s">
        <v>542</v>
      </c>
      <c r="CV20" s="215" t="s">
        <v>542</v>
      </c>
      <c r="CW20" s="215" t="s">
        <v>542</v>
      </c>
      <c r="CX20" s="215" t="s">
        <v>541</v>
      </c>
      <c r="CY20" s="215" t="s">
        <v>542</v>
      </c>
      <c r="CZ20" s="215" t="s">
        <v>541</v>
      </c>
      <c r="DA20" s="215" t="s">
        <v>542</v>
      </c>
      <c r="DB20" s="215" t="s">
        <v>542</v>
      </c>
      <c r="DC20" s="215" t="s">
        <v>542</v>
      </c>
      <c r="DD20" s="215" t="s">
        <v>542</v>
      </c>
      <c r="DE20" s="215" t="s">
        <v>542</v>
      </c>
      <c r="DF20" s="215" t="s">
        <v>542</v>
      </c>
      <c r="DG20" s="215" t="s">
        <v>542</v>
      </c>
      <c r="DH20" s="215" t="s">
        <v>542</v>
      </c>
      <c r="DI20" s="215" t="s">
        <v>542</v>
      </c>
      <c r="DJ20" s="215" t="s">
        <v>542</v>
      </c>
      <c r="DK20" s="215" t="s">
        <v>542</v>
      </c>
      <c r="DL20" s="215" t="s">
        <v>588</v>
      </c>
      <c r="DM20" s="215" t="s">
        <v>541</v>
      </c>
      <c r="DN20" s="215" t="s">
        <v>541</v>
      </c>
      <c r="DO20" s="215" t="s">
        <v>541</v>
      </c>
      <c r="DP20" s="215" t="s">
        <v>542</v>
      </c>
      <c r="DQ20" s="215" t="s">
        <v>542</v>
      </c>
      <c r="DR20" s="215" t="s">
        <v>542</v>
      </c>
      <c r="DS20" s="215" t="s">
        <v>601</v>
      </c>
      <c r="DT20" s="215" t="s">
        <v>542</v>
      </c>
      <c r="DU20" s="215" t="s">
        <v>542</v>
      </c>
      <c r="DV20" s="215" t="s">
        <v>542</v>
      </c>
      <c r="DW20" s="215" t="s">
        <v>542</v>
      </c>
      <c r="DX20" s="215" t="s">
        <v>542</v>
      </c>
      <c r="DY20" s="215" t="s">
        <v>588</v>
      </c>
      <c r="DZ20" s="215" t="s">
        <v>542</v>
      </c>
      <c r="EA20" s="215" t="s">
        <v>542</v>
      </c>
      <c r="EB20" s="215" t="s">
        <v>542</v>
      </c>
      <c r="EC20" s="215" t="s">
        <v>542</v>
      </c>
      <c r="ED20" s="215" t="s">
        <v>542</v>
      </c>
      <c r="EE20" s="215" t="s">
        <v>588</v>
      </c>
      <c r="EF20" s="215" t="s">
        <v>542</v>
      </c>
      <c r="EG20" s="215" t="s">
        <v>542</v>
      </c>
      <c r="EH20" s="215" t="s">
        <v>542</v>
      </c>
      <c r="EI20" s="215" t="s">
        <v>542</v>
      </c>
      <c r="EJ20" s="215" t="s">
        <v>542</v>
      </c>
      <c r="EK20" s="215" t="s">
        <v>588</v>
      </c>
      <c r="EL20" s="215" t="s">
        <v>542</v>
      </c>
      <c r="EM20" s="215" t="s">
        <v>542</v>
      </c>
      <c r="EN20" s="215" t="s">
        <v>542</v>
      </c>
      <c r="EO20" s="215" t="s">
        <v>542</v>
      </c>
      <c r="EP20" s="215" t="s">
        <v>542</v>
      </c>
      <c r="EQ20" s="215" t="s">
        <v>588</v>
      </c>
      <c r="ER20" s="215" t="s">
        <v>542</v>
      </c>
      <c r="ES20" s="215" t="s">
        <v>588</v>
      </c>
      <c r="ET20" s="215" t="s">
        <v>542</v>
      </c>
      <c r="EU20" s="215" t="s">
        <v>542</v>
      </c>
      <c r="EV20" s="215" t="s">
        <v>542</v>
      </c>
      <c r="EW20" s="215" t="s">
        <v>542</v>
      </c>
      <c r="EX20" s="215" t="s">
        <v>542</v>
      </c>
      <c r="EY20" s="215" t="s">
        <v>542</v>
      </c>
      <c r="EZ20" s="215" t="s">
        <v>588</v>
      </c>
      <c r="FA20" s="215" t="s">
        <v>542</v>
      </c>
      <c r="FB20" s="215" t="s">
        <v>542</v>
      </c>
      <c r="FC20" s="215" t="s">
        <v>542</v>
      </c>
      <c r="FD20" s="215" t="s">
        <v>542</v>
      </c>
      <c r="FE20" s="215" t="s">
        <v>542</v>
      </c>
      <c r="FF20" s="215" t="s">
        <v>588</v>
      </c>
      <c r="FG20" s="215" t="s">
        <v>542</v>
      </c>
      <c r="FH20" s="215" t="s">
        <v>542</v>
      </c>
      <c r="FI20" s="215" t="s">
        <v>542</v>
      </c>
      <c r="FJ20" s="215" t="s">
        <v>542</v>
      </c>
      <c r="FK20" s="215" t="s">
        <v>542</v>
      </c>
      <c r="FL20" s="215" t="s">
        <v>588</v>
      </c>
      <c r="FM20" s="215" t="s">
        <v>542</v>
      </c>
      <c r="FN20" s="215" t="s">
        <v>542</v>
      </c>
      <c r="FO20" s="215" t="s">
        <v>542</v>
      </c>
      <c r="FP20" s="215" t="s">
        <v>542</v>
      </c>
      <c r="FQ20" s="215" t="s">
        <v>542</v>
      </c>
      <c r="FR20" s="215" t="s">
        <v>588</v>
      </c>
      <c r="FS20" s="215" t="s">
        <v>542</v>
      </c>
      <c r="FT20" s="215" t="s">
        <v>542</v>
      </c>
      <c r="FU20" s="215" t="s">
        <v>542</v>
      </c>
      <c r="FV20" s="215" t="s">
        <v>542</v>
      </c>
      <c r="FW20" s="215" t="s">
        <v>542</v>
      </c>
      <c r="FX20" s="215" t="s">
        <v>588</v>
      </c>
      <c r="FY20" s="215" t="s">
        <v>542</v>
      </c>
      <c r="FZ20" s="215" t="s">
        <v>588</v>
      </c>
      <c r="GA20" s="215" t="s">
        <v>542</v>
      </c>
      <c r="GB20" s="215" t="s">
        <v>542</v>
      </c>
      <c r="GC20" s="215" t="s">
        <v>542</v>
      </c>
      <c r="GD20" s="215" t="s">
        <v>542</v>
      </c>
      <c r="GE20" s="215" t="s">
        <v>542</v>
      </c>
      <c r="GF20" s="215" t="s">
        <v>542</v>
      </c>
      <c r="GG20" s="215" t="s">
        <v>542</v>
      </c>
      <c r="GH20" s="215" t="s">
        <v>588</v>
      </c>
      <c r="GI20" s="215" t="s">
        <v>542</v>
      </c>
      <c r="GJ20" s="215" t="s">
        <v>588</v>
      </c>
    </row>
    <row r="21" spans="1:192" x14ac:dyDescent="0.2">
      <c r="A21" s="215" t="s">
        <v>569</v>
      </c>
      <c r="B21" s="215">
        <v>2025</v>
      </c>
      <c r="C21" s="215" t="s">
        <v>541</v>
      </c>
      <c r="D21" s="215" t="s">
        <v>542</v>
      </c>
      <c r="E21" s="215" t="s">
        <v>542</v>
      </c>
      <c r="F21" s="215" t="s">
        <v>542</v>
      </c>
      <c r="G21" s="215" t="s">
        <v>542</v>
      </c>
      <c r="H21" s="215" t="s">
        <v>542</v>
      </c>
      <c r="I21" s="215" t="s">
        <v>588</v>
      </c>
      <c r="J21" s="215" t="s">
        <v>542</v>
      </c>
      <c r="K21" s="215" t="s">
        <v>542</v>
      </c>
      <c r="L21" s="215" t="s">
        <v>542</v>
      </c>
      <c r="M21" s="215" t="s">
        <v>542</v>
      </c>
      <c r="N21" s="215" t="s">
        <v>542</v>
      </c>
      <c r="O21" s="215" t="s">
        <v>542</v>
      </c>
      <c r="P21" s="215" t="s">
        <v>542</v>
      </c>
      <c r="Q21" s="215" t="s">
        <v>542</v>
      </c>
      <c r="R21" s="215" t="s">
        <v>542</v>
      </c>
      <c r="S21" s="215" t="s">
        <v>588</v>
      </c>
      <c r="T21" s="215" t="s">
        <v>542</v>
      </c>
      <c r="U21" s="215" t="s">
        <v>588</v>
      </c>
      <c r="V21" s="215" t="s">
        <v>541</v>
      </c>
      <c r="W21" s="215" t="s">
        <v>541</v>
      </c>
      <c r="X21" s="215" t="s">
        <v>541</v>
      </c>
      <c r="Y21" s="215" t="s">
        <v>541</v>
      </c>
      <c r="Z21" s="215" t="s">
        <v>541</v>
      </c>
      <c r="AA21" s="215" t="s">
        <v>541</v>
      </c>
      <c r="AB21" s="215" t="s">
        <v>541</v>
      </c>
      <c r="AC21" s="215" t="s">
        <v>541</v>
      </c>
      <c r="AD21" s="215" t="s">
        <v>542</v>
      </c>
      <c r="AE21" s="215" t="s">
        <v>542</v>
      </c>
      <c r="AF21" s="215" t="s">
        <v>542</v>
      </c>
      <c r="AG21" s="215" t="s">
        <v>588</v>
      </c>
      <c r="AH21" s="215" t="s">
        <v>541</v>
      </c>
      <c r="AI21" s="215" t="s">
        <v>542</v>
      </c>
      <c r="AJ21" s="215" t="s">
        <v>588</v>
      </c>
      <c r="AK21" s="215" t="s">
        <v>542</v>
      </c>
      <c r="AL21" s="215" t="s">
        <v>588</v>
      </c>
      <c r="AM21" s="215" t="s">
        <v>542</v>
      </c>
      <c r="AN21" s="215" t="s">
        <v>588</v>
      </c>
      <c r="AO21" s="215" t="s">
        <v>542</v>
      </c>
      <c r="AP21" s="215" t="s">
        <v>542</v>
      </c>
      <c r="AQ21" s="215" t="s">
        <v>542</v>
      </c>
      <c r="AR21" s="215" t="s">
        <v>542</v>
      </c>
      <c r="AS21" s="215" t="s">
        <v>542</v>
      </c>
      <c r="AT21" s="215" t="s">
        <v>542</v>
      </c>
      <c r="AU21" s="215" t="s">
        <v>542</v>
      </c>
      <c r="AV21" s="215" t="s">
        <v>542</v>
      </c>
      <c r="AW21" s="215" t="s">
        <v>588</v>
      </c>
      <c r="AX21" s="215" t="s">
        <v>542</v>
      </c>
      <c r="AY21" s="215" t="s">
        <v>588</v>
      </c>
      <c r="AZ21" s="215" t="s">
        <v>542</v>
      </c>
      <c r="BA21" s="215" t="s">
        <v>542</v>
      </c>
      <c r="BB21" s="215" t="s">
        <v>542</v>
      </c>
      <c r="BC21" s="215" t="s">
        <v>542</v>
      </c>
      <c r="BD21" s="215" t="s">
        <v>588</v>
      </c>
      <c r="BE21" s="215" t="s">
        <v>542</v>
      </c>
      <c r="BF21" s="215" t="s">
        <v>542</v>
      </c>
      <c r="BG21" s="215" t="s">
        <v>588</v>
      </c>
      <c r="BH21" s="215" t="s">
        <v>542</v>
      </c>
      <c r="BI21" s="215" t="s">
        <v>542</v>
      </c>
      <c r="BJ21" s="215" t="s">
        <v>542</v>
      </c>
      <c r="BK21" s="215" t="s">
        <v>542</v>
      </c>
      <c r="BL21" s="215" t="s">
        <v>588</v>
      </c>
      <c r="BM21" s="215" t="s">
        <v>542</v>
      </c>
      <c r="BN21" s="215" t="s">
        <v>588</v>
      </c>
      <c r="BO21" s="215" t="s">
        <v>542</v>
      </c>
      <c r="BP21" s="215" t="s">
        <v>542</v>
      </c>
      <c r="BQ21" s="215" t="s">
        <v>542</v>
      </c>
      <c r="BR21" s="215" t="s">
        <v>542</v>
      </c>
      <c r="BS21" s="215" t="s">
        <v>542</v>
      </c>
      <c r="BT21" s="215" t="s">
        <v>542</v>
      </c>
      <c r="BU21" s="215" t="s">
        <v>542</v>
      </c>
      <c r="BV21" s="215" t="s">
        <v>588</v>
      </c>
      <c r="BW21" s="215" t="s">
        <v>542</v>
      </c>
      <c r="BX21" s="215" t="s">
        <v>541</v>
      </c>
      <c r="BY21" s="215" t="s">
        <v>542</v>
      </c>
      <c r="BZ21" s="215" t="s">
        <v>542</v>
      </c>
      <c r="CA21" s="215" t="s">
        <v>542</v>
      </c>
      <c r="CB21" s="215" t="s">
        <v>542</v>
      </c>
      <c r="CC21" s="215" t="s">
        <v>542</v>
      </c>
      <c r="CD21" s="215" t="s">
        <v>542</v>
      </c>
      <c r="CE21" s="215" t="s">
        <v>542</v>
      </c>
      <c r="CF21" s="215" t="s">
        <v>542</v>
      </c>
      <c r="CG21" s="215" t="s">
        <v>542</v>
      </c>
      <c r="CH21" s="215" t="s">
        <v>542</v>
      </c>
      <c r="CI21" s="215" t="s">
        <v>542</v>
      </c>
      <c r="CJ21" s="215" t="s">
        <v>542</v>
      </c>
      <c r="CK21" s="215" t="s">
        <v>542</v>
      </c>
      <c r="CL21" s="215" t="s">
        <v>542</v>
      </c>
      <c r="CM21" s="215" t="s">
        <v>542</v>
      </c>
      <c r="CN21" s="215" t="s">
        <v>542</v>
      </c>
      <c r="CO21" s="215" t="s">
        <v>542</v>
      </c>
      <c r="CP21" s="215" t="s">
        <v>542</v>
      </c>
      <c r="CQ21" s="215" t="s">
        <v>542</v>
      </c>
      <c r="CR21" s="215" t="s">
        <v>542</v>
      </c>
      <c r="CS21" s="215" t="s">
        <v>542</v>
      </c>
      <c r="CT21" s="215" t="s">
        <v>542</v>
      </c>
      <c r="CU21" s="215" t="s">
        <v>542</v>
      </c>
      <c r="CV21" s="215" t="s">
        <v>542</v>
      </c>
      <c r="CW21" s="215" t="s">
        <v>542</v>
      </c>
      <c r="CX21" s="215" t="s">
        <v>542</v>
      </c>
      <c r="CY21" s="215" t="s">
        <v>542</v>
      </c>
      <c r="CZ21" s="215" t="s">
        <v>542</v>
      </c>
      <c r="DA21" s="215" t="s">
        <v>542</v>
      </c>
      <c r="DB21" s="215" t="s">
        <v>542</v>
      </c>
      <c r="DC21" s="215" t="s">
        <v>542</v>
      </c>
      <c r="DD21" s="215" t="s">
        <v>542</v>
      </c>
      <c r="DE21" s="215" t="s">
        <v>542</v>
      </c>
      <c r="DF21" s="215" t="s">
        <v>542</v>
      </c>
      <c r="DG21" s="215" t="s">
        <v>542</v>
      </c>
      <c r="DH21" s="215" t="s">
        <v>542</v>
      </c>
      <c r="DI21" s="215" t="s">
        <v>542</v>
      </c>
      <c r="DJ21" s="215" t="s">
        <v>542</v>
      </c>
      <c r="DK21" s="215" t="s">
        <v>542</v>
      </c>
      <c r="DL21" s="215" t="s">
        <v>588</v>
      </c>
      <c r="DM21" s="215" t="s">
        <v>542</v>
      </c>
      <c r="DN21" s="215" t="s">
        <v>542</v>
      </c>
      <c r="DO21" s="215" t="s">
        <v>542</v>
      </c>
      <c r="DP21" s="215" t="s">
        <v>542</v>
      </c>
      <c r="DQ21" s="215" t="s">
        <v>542</v>
      </c>
      <c r="DR21" s="215" t="s">
        <v>542</v>
      </c>
      <c r="DS21" s="215" t="s">
        <v>588</v>
      </c>
      <c r="DT21" s="215" t="s">
        <v>542</v>
      </c>
      <c r="DU21" s="215" t="s">
        <v>542</v>
      </c>
      <c r="DV21" s="215" t="s">
        <v>542</v>
      </c>
      <c r="DW21" s="215" t="s">
        <v>542</v>
      </c>
      <c r="DX21" s="215" t="s">
        <v>542</v>
      </c>
      <c r="DY21" s="215" t="s">
        <v>588</v>
      </c>
      <c r="DZ21" s="215" t="s">
        <v>542</v>
      </c>
      <c r="EA21" s="215" t="s">
        <v>542</v>
      </c>
      <c r="EB21" s="215" t="s">
        <v>542</v>
      </c>
      <c r="EC21" s="215" t="s">
        <v>542</v>
      </c>
      <c r="ED21" s="215" t="s">
        <v>542</v>
      </c>
      <c r="EE21" s="215" t="s">
        <v>588</v>
      </c>
      <c r="EF21" s="215" t="s">
        <v>542</v>
      </c>
      <c r="EG21" s="215" t="s">
        <v>542</v>
      </c>
      <c r="EH21" s="215" t="s">
        <v>542</v>
      </c>
      <c r="EI21" s="215" t="s">
        <v>542</v>
      </c>
      <c r="EJ21" s="215" t="s">
        <v>542</v>
      </c>
      <c r="EK21" s="215" t="s">
        <v>588</v>
      </c>
      <c r="EL21" s="215" t="s">
        <v>542</v>
      </c>
      <c r="EM21" s="215" t="s">
        <v>542</v>
      </c>
      <c r="EN21" s="215" t="s">
        <v>542</v>
      </c>
      <c r="EO21" s="215" t="s">
        <v>542</v>
      </c>
      <c r="EP21" s="215" t="s">
        <v>542</v>
      </c>
      <c r="EQ21" s="215" t="s">
        <v>588</v>
      </c>
      <c r="ER21" s="215" t="s">
        <v>542</v>
      </c>
      <c r="ES21" s="215" t="s">
        <v>588</v>
      </c>
      <c r="ET21" s="215" t="s">
        <v>542</v>
      </c>
      <c r="EU21" s="215" t="s">
        <v>542</v>
      </c>
      <c r="EV21" s="215" t="s">
        <v>542</v>
      </c>
      <c r="EW21" s="215" t="s">
        <v>542</v>
      </c>
      <c r="EX21" s="215" t="s">
        <v>542</v>
      </c>
      <c r="EY21" s="215" t="s">
        <v>542</v>
      </c>
      <c r="EZ21" s="215" t="s">
        <v>588</v>
      </c>
      <c r="FA21" s="215" t="s">
        <v>542</v>
      </c>
      <c r="FB21" s="215" t="s">
        <v>542</v>
      </c>
      <c r="FC21" s="215" t="s">
        <v>542</v>
      </c>
      <c r="FD21" s="215" t="s">
        <v>542</v>
      </c>
      <c r="FE21" s="215" t="s">
        <v>542</v>
      </c>
      <c r="FF21" s="215" t="s">
        <v>588</v>
      </c>
      <c r="FG21" s="215" t="s">
        <v>542</v>
      </c>
      <c r="FH21" s="215" t="s">
        <v>542</v>
      </c>
      <c r="FI21" s="215" t="s">
        <v>542</v>
      </c>
      <c r="FJ21" s="215" t="s">
        <v>542</v>
      </c>
      <c r="FK21" s="215" t="s">
        <v>542</v>
      </c>
      <c r="FL21" s="215" t="s">
        <v>588</v>
      </c>
      <c r="FM21" s="215" t="s">
        <v>542</v>
      </c>
      <c r="FN21" s="215" t="s">
        <v>542</v>
      </c>
      <c r="FO21" s="215" t="s">
        <v>542</v>
      </c>
      <c r="FP21" s="215" t="s">
        <v>542</v>
      </c>
      <c r="FQ21" s="215" t="s">
        <v>542</v>
      </c>
      <c r="FR21" s="215" t="s">
        <v>588</v>
      </c>
      <c r="FS21" s="215" t="s">
        <v>542</v>
      </c>
      <c r="FT21" s="215" t="s">
        <v>542</v>
      </c>
      <c r="FU21" s="215" t="s">
        <v>542</v>
      </c>
      <c r="FV21" s="215" t="s">
        <v>542</v>
      </c>
      <c r="FW21" s="215" t="s">
        <v>542</v>
      </c>
      <c r="FX21" s="215" t="s">
        <v>588</v>
      </c>
      <c r="FY21" s="215" t="s">
        <v>542</v>
      </c>
      <c r="FZ21" s="215" t="s">
        <v>588</v>
      </c>
      <c r="GA21" s="215" t="s">
        <v>542</v>
      </c>
      <c r="GB21" s="215" t="s">
        <v>542</v>
      </c>
      <c r="GC21" s="215" t="s">
        <v>542</v>
      </c>
      <c r="GD21" s="215" t="s">
        <v>542</v>
      </c>
      <c r="GE21" s="215" t="s">
        <v>542</v>
      </c>
      <c r="GF21" s="215" t="s">
        <v>542</v>
      </c>
      <c r="GG21" s="215" t="s">
        <v>542</v>
      </c>
      <c r="GH21" s="215" t="s">
        <v>588</v>
      </c>
      <c r="GI21" s="215" t="s">
        <v>542</v>
      </c>
      <c r="GJ21" s="215" t="s">
        <v>588</v>
      </c>
    </row>
    <row r="22" spans="1:192" x14ac:dyDescent="0.2">
      <c r="A22" s="215" t="s">
        <v>571</v>
      </c>
      <c r="B22" s="215">
        <v>2024</v>
      </c>
      <c r="C22" s="215" t="s">
        <v>541</v>
      </c>
      <c r="D22" s="215" t="s">
        <v>542</v>
      </c>
      <c r="E22" s="215" t="s">
        <v>542</v>
      </c>
      <c r="F22" s="215" t="s">
        <v>542</v>
      </c>
      <c r="G22" s="215" t="s">
        <v>542</v>
      </c>
      <c r="H22" s="215" t="s">
        <v>542</v>
      </c>
      <c r="I22" s="215" t="s">
        <v>588</v>
      </c>
      <c r="J22" s="215" t="s">
        <v>542</v>
      </c>
      <c r="K22" s="215" t="s">
        <v>542</v>
      </c>
      <c r="L22" s="215" t="s">
        <v>542</v>
      </c>
      <c r="M22" s="215" t="s">
        <v>542</v>
      </c>
      <c r="N22" s="215" t="s">
        <v>542</v>
      </c>
      <c r="O22" s="215" t="s">
        <v>542</v>
      </c>
      <c r="P22" s="215" t="s">
        <v>542</v>
      </c>
      <c r="Q22" s="215" t="s">
        <v>542</v>
      </c>
      <c r="R22" s="215" t="s">
        <v>542</v>
      </c>
      <c r="S22" s="215" t="s">
        <v>588</v>
      </c>
      <c r="T22" s="215" t="s">
        <v>542</v>
      </c>
      <c r="U22" s="215" t="s">
        <v>588</v>
      </c>
      <c r="V22" s="215" t="s">
        <v>542</v>
      </c>
      <c r="W22" s="215" t="s">
        <v>542</v>
      </c>
      <c r="X22" s="215" t="s">
        <v>542</v>
      </c>
      <c r="Y22" s="215" t="s">
        <v>542</v>
      </c>
      <c r="Z22" s="215" t="s">
        <v>542</v>
      </c>
      <c r="AA22" s="215" t="s">
        <v>542</v>
      </c>
      <c r="AB22" s="215" t="s">
        <v>542</v>
      </c>
      <c r="AC22" s="215" t="s">
        <v>542</v>
      </c>
      <c r="AD22" s="215" t="s">
        <v>542</v>
      </c>
      <c r="AE22" s="215" t="s">
        <v>542</v>
      </c>
      <c r="AF22" s="215" t="s">
        <v>542</v>
      </c>
      <c r="AG22" s="215" t="s">
        <v>588</v>
      </c>
      <c r="AH22" s="215" t="s">
        <v>542</v>
      </c>
      <c r="AI22" s="215" t="s">
        <v>542</v>
      </c>
      <c r="AJ22" s="215" t="s">
        <v>588</v>
      </c>
      <c r="AK22" s="215" t="s">
        <v>542</v>
      </c>
      <c r="AL22" s="215" t="s">
        <v>588</v>
      </c>
      <c r="AM22" s="215" t="s">
        <v>542</v>
      </c>
      <c r="AN22" s="215" t="s">
        <v>588</v>
      </c>
      <c r="AO22" s="215" t="s">
        <v>542</v>
      </c>
      <c r="AP22" s="215" t="s">
        <v>542</v>
      </c>
      <c r="AQ22" s="215" t="s">
        <v>542</v>
      </c>
      <c r="AR22" s="215" t="s">
        <v>542</v>
      </c>
      <c r="AS22" s="215" t="s">
        <v>542</v>
      </c>
      <c r="AT22" s="215" t="s">
        <v>542</v>
      </c>
      <c r="AU22" s="215" t="s">
        <v>542</v>
      </c>
      <c r="AV22" s="215" t="s">
        <v>542</v>
      </c>
      <c r="AW22" s="215" t="s">
        <v>588</v>
      </c>
      <c r="AX22" s="215" t="s">
        <v>542</v>
      </c>
      <c r="AY22" s="215" t="s">
        <v>588</v>
      </c>
      <c r="AZ22" s="215" t="s">
        <v>542</v>
      </c>
      <c r="BA22" s="215" t="s">
        <v>542</v>
      </c>
      <c r="BB22" s="215" t="s">
        <v>542</v>
      </c>
      <c r="BC22" s="215" t="s">
        <v>542</v>
      </c>
      <c r="BD22" s="215" t="s">
        <v>588</v>
      </c>
      <c r="BE22" s="215" t="s">
        <v>542</v>
      </c>
      <c r="BF22" s="215" t="s">
        <v>542</v>
      </c>
      <c r="BG22" s="215" t="s">
        <v>588</v>
      </c>
      <c r="BH22" s="215" t="s">
        <v>542</v>
      </c>
      <c r="BI22" s="215" t="s">
        <v>542</v>
      </c>
      <c r="BJ22" s="215" t="s">
        <v>542</v>
      </c>
      <c r="BK22" s="215" t="s">
        <v>542</v>
      </c>
      <c r="BL22" s="215" t="s">
        <v>588</v>
      </c>
      <c r="BM22" s="215" t="s">
        <v>542</v>
      </c>
      <c r="BN22" s="215" t="s">
        <v>588</v>
      </c>
      <c r="BO22" s="215" t="s">
        <v>542</v>
      </c>
      <c r="BP22" s="215" t="s">
        <v>542</v>
      </c>
      <c r="BQ22" s="215" t="s">
        <v>542</v>
      </c>
      <c r="BR22" s="215" t="s">
        <v>542</v>
      </c>
      <c r="BS22" s="215" t="s">
        <v>542</v>
      </c>
      <c r="BT22" s="215" t="s">
        <v>542</v>
      </c>
      <c r="BU22" s="215" t="s">
        <v>542</v>
      </c>
      <c r="BV22" s="215" t="s">
        <v>588</v>
      </c>
      <c r="BW22" s="215" t="s">
        <v>542</v>
      </c>
      <c r="BX22" s="215" t="s">
        <v>542</v>
      </c>
      <c r="BY22" s="215" t="s">
        <v>542</v>
      </c>
      <c r="BZ22" s="215" t="s">
        <v>542</v>
      </c>
      <c r="CA22" s="215" t="s">
        <v>542</v>
      </c>
      <c r="CB22" s="215" t="s">
        <v>542</v>
      </c>
      <c r="CC22" s="215" t="s">
        <v>542</v>
      </c>
      <c r="CD22" s="215" t="s">
        <v>542</v>
      </c>
      <c r="CE22" s="215" t="s">
        <v>542</v>
      </c>
      <c r="CF22" s="215" t="s">
        <v>542</v>
      </c>
      <c r="CG22" s="215" t="s">
        <v>542</v>
      </c>
      <c r="CH22" s="215" t="s">
        <v>542</v>
      </c>
      <c r="CI22" s="215" t="s">
        <v>542</v>
      </c>
      <c r="CJ22" s="215" t="s">
        <v>542</v>
      </c>
      <c r="CK22" s="215" t="s">
        <v>542</v>
      </c>
      <c r="CL22" s="215" t="s">
        <v>542</v>
      </c>
      <c r="CM22" s="215" t="s">
        <v>542</v>
      </c>
      <c r="CN22" s="215" t="s">
        <v>542</v>
      </c>
      <c r="CO22" s="215" t="s">
        <v>542</v>
      </c>
      <c r="CP22" s="215" t="s">
        <v>542</v>
      </c>
      <c r="CQ22" s="215" t="s">
        <v>542</v>
      </c>
      <c r="CR22" s="215" t="s">
        <v>542</v>
      </c>
      <c r="CS22" s="215" t="s">
        <v>542</v>
      </c>
      <c r="CT22" s="215" t="s">
        <v>542</v>
      </c>
      <c r="CU22" s="215" t="s">
        <v>542</v>
      </c>
      <c r="CV22" s="215" t="s">
        <v>542</v>
      </c>
      <c r="CW22" s="215" t="s">
        <v>542</v>
      </c>
      <c r="CX22" s="215" t="s">
        <v>542</v>
      </c>
      <c r="CY22" s="215" t="s">
        <v>542</v>
      </c>
      <c r="CZ22" s="215" t="s">
        <v>542</v>
      </c>
      <c r="DA22" s="215" t="s">
        <v>542</v>
      </c>
      <c r="DB22" s="215" t="s">
        <v>542</v>
      </c>
      <c r="DC22" s="215" t="s">
        <v>542</v>
      </c>
      <c r="DD22" s="215" t="s">
        <v>542</v>
      </c>
      <c r="DE22" s="215" t="s">
        <v>542</v>
      </c>
      <c r="DF22" s="215" t="s">
        <v>542</v>
      </c>
      <c r="DG22" s="215" t="s">
        <v>542</v>
      </c>
      <c r="DH22" s="215" t="s">
        <v>542</v>
      </c>
      <c r="DI22" s="215" t="s">
        <v>542</v>
      </c>
      <c r="DJ22" s="215" t="s">
        <v>542</v>
      </c>
      <c r="DK22" s="215" t="s">
        <v>542</v>
      </c>
      <c r="DL22" s="215" t="s">
        <v>588</v>
      </c>
      <c r="DM22" s="215" t="s">
        <v>542</v>
      </c>
      <c r="DN22" s="215" t="s">
        <v>542</v>
      </c>
      <c r="DO22" s="215" t="s">
        <v>542</v>
      </c>
      <c r="DP22" s="215" t="s">
        <v>542</v>
      </c>
      <c r="DQ22" s="215" t="s">
        <v>542</v>
      </c>
      <c r="DR22" s="215" t="s">
        <v>542</v>
      </c>
      <c r="DS22" s="215" t="s">
        <v>588</v>
      </c>
      <c r="DT22" s="215" t="s">
        <v>542</v>
      </c>
      <c r="DU22" s="215" t="s">
        <v>542</v>
      </c>
      <c r="DV22" s="215" t="s">
        <v>542</v>
      </c>
      <c r="DW22" s="215" t="s">
        <v>542</v>
      </c>
      <c r="DX22" s="215" t="s">
        <v>542</v>
      </c>
      <c r="DY22" s="215" t="s">
        <v>588</v>
      </c>
      <c r="DZ22" s="215" t="s">
        <v>542</v>
      </c>
      <c r="EA22" s="215" t="s">
        <v>542</v>
      </c>
      <c r="EB22" s="215" t="s">
        <v>542</v>
      </c>
      <c r="EC22" s="215" t="s">
        <v>542</v>
      </c>
      <c r="ED22" s="215" t="s">
        <v>542</v>
      </c>
      <c r="EE22" s="215" t="s">
        <v>588</v>
      </c>
      <c r="EF22" s="215" t="s">
        <v>542</v>
      </c>
      <c r="EG22" s="215" t="s">
        <v>542</v>
      </c>
      <c r="EH22" s="215" t="s">
        <v>542</v>
      </c>
      <c r="EI22" s="215" t="s">
        <v>542</v>
      </c>
      <c r="EJ22" s="215" t="s">
        <v>542</v>
      </c>
      <c r="EK22" s="215" t="s">
        <v>588</v>
      </c>
      <c r="EL22" s="215" t="s">
        <v>542</v>
      </c>
      <c r="EM22" s="215" t="s">
        <v>542</v>
      </c>
      <c r="EN22" s="215" t="s">
        <v>542</v>
      </c>
      <c r="EO22" s="215" t="s">
        <v>542</v>
      </c>
      <c r="EP22" s="215" t="s">
        <v>542</v>
      </c>
      <c r="EQ22" s="215" t="s">
        <v>588</v>
      </c>
      <c r="ER22" s="215" t="s">
        <v>542</v>
      </c>
      <c r="ES22" s="215" t="s">
        <v>588</v>
      </c>
      <c r="ET22" s="215" t="s">
        <v>542</v>
      </c>
      <c r="EU22" s="215" t="s">
        <v>542</v>
      </c>
      <c r="EV22" s="215" t="s">
        <v>542</v>
      </c>
      <c r="EW22" s="215" t="s">
        <v>542</v>
      </c>
      <c r="EX22" s="215" t="s">
        <v>542</v>
      </c>
      <c r="EY22" s="215" t="s">
        <v>542</v>
      </c>
      <c r="EZ22" s="215" t="s">
        <v>588</v>
      </c>
      <c r="FA22" s="215" t="s">
        <v>542</v>
      </c>
      <c r="FB22" s="215" t="s">
        <v>542</v>
      </c>
      <c r="FC22" s="215" t="s">
        <v>542</v>
      </c>
      <c r="FD22" s="215" t="s">
        <v>542</v>
      </c>
      <c r="FE22" s="215" t="s">
        <v>542</v>
      </c>
      <c r="FF22" s="215" t="s">
        <v>588</v>
      </c>
      <c r="FG22" s="215" t="s">
        <v>542</v>
      </c>
      <c r="FH22" s="215" t="s">
        <v>542</v>
      </c>
      <c r="FI22" s="215" t="s">
        <v>542</v>
      </c>
      <c r="FJ22" s="215" t="s">
        <v>542</v>
      </c>
      <c r="FK22" s="215" t="s">
        <v>542</v>
      </c>
      <c r="FL22" s="215" t="s">
        <v>588</v>
      </c>
      <c r="FM22" s="215" t="s">
        <v>542</v>
      </c>
      <c r="FN22" s="215" t="s">
        <v>542</v>
      </c>
      <c r="FO22" s="215" t="s">
        <v>542</v>
      </c>
      <c r="FP22" s="215" t="s">
        <v>542</v>
      </c>
      <c r="FQ22" s="215" t="s">
        <v>542</v>
      </c>
      <c r="FR22" s="215" t="s">
        <v>588</v>
      </c>
      <c r="FS22" s="215" t="s">
        <v>542</v>
      </c>
      <c r="FT22" s="215" t="s">
        <v>542</v>
      </c>
      <c r="FU22" s="215" t="s">
        <v>542</v>
      </c>
      <c r="FV22" s="215" t="s">
        <v>542</v>
      </c>
      <c r="FW22" s="215" t="s">
        <v>542</v>
      </c>
      <c r="FX22" s="215" t="s">
        <v>588</v>
      </c>
      <c r="FY22" s="215" t="s">
        <v>542</v>
      </c>
      <c r="FZ22" s="215" t="s">
        <v>588</v>
      </c>
      <c r="GA22" s="215" t="s">
        <v>542</v>
      </c>
      <c r="GB22" s="215" t="s">
        <v>542</v>
      </c>
      <c r="GC22" s="215" t="s">
        <v>542</v>
      </c>
      <c r="GD22" s="215" t="s">
        <v>542</v>
      </c>
      <c r="GE22" s="215" t="s">
        <v>542</v>
      </c>
      <c r="GF22" s="215" t="s">
        <v>542</v>
      </c>
      <c r="GG22" s="215" t="s">
        <v>542</v>
      </c>
      <c r="GH22" s="215" t="s">
        <v>588</v>
      </c>
      <c r="GI22" s="215" t="s">
        <v>542</v>
      </c>
      <c r="GJ22" s="215" t="s">
        <v>588</v>
      </c>
    </row>
    <row r="23" spans="1:192" x14ac:dyDescent="0.2">
      <c r="A23" s="215" t="s">
        <v>572</v>
      </c>
      <c r="B23" s="215">
        <v>2024</v>
      </c>
      <c r="C23" s="215" t="s">
        <v>541</v>
      </c>
      <c r="D23" s="215" t="s">
        <v>542</v>
      </c>
      <c r="E23" s="215" t="s">
        <v>542</v>
      </c>
      <c r="F23" s="215" t="s">
        <v>542</v>
      </c>
      <c r="G23" s="215" t="s">
        <v>542</v>
      </c>
      <c r="H23" s="215" t="s">
        <v>542</v>
      </c>
      <c r="I23" s="215" t="s">
        <v>588</v>
      </c>
      <c r="J23" s="215" t="s">
        <v>541</v>
      </c>
      <c r="K23" s="215" t="s">
        <v>541</v>
      </c>
      <c r="L23" s="215" t="s">
        <v>542</v>
      </c>
      <c r="M23" s="215" t="s">
        <v>542</v>
      </c>
      <c r="N23" s="215" t="s">
        <v>542</v>
      </c>
      <c r="O23" s="215" t="s">
        <v>542</v>
      </c>
      <c r="P23" s="215" t="s">
        <v>542</v>
      </c>
      <c r="Q23" s="215" t="s">
        <v>542</v>
      </c>
      <c r="R23" s="215" t="s">
        <v>542</v>
      </c>
      <c r="S23" s="215" t="s">
        <v>588</v>
      </c>
      <c r="T23" s="215" t="s">
        <v>542</v>
      </c>
      <c r="U23" s="215" t="s">
        <v>588</v>
      </c>
      <c r="V23" s="215" t="s">
        <v>542</v>
      </c>
      <c r="W23" s="215" t="s">
        <v>542</v>
      </c>
      <c r="X23" s="215" t="s">
        <v>542</v>
      </c>
      <c r="Y23" s="215" t="s">
        <v>542</v>
      </c>
      <c r="Z23" s="215" t="s">
        <v>542</v>
      </c>
      <c r="AA23" s="215" t="s">
        <v>542</v>
      </c>
      <c r="AB23" s="215" t="s">
        <v>542</v>
      </c>
      <c r="AC23" s="215" t="s">
        <v>542</v>
      </c>
      <c r="AD23" s="215" t="s">
        <v>542</v>
      </c>
      <c r="AE23" s="215" t="s">
        <v>542</v>
      </c>
      <c r="AF23" s="215" t="s">
        <v>542</v>
      </c>
      <c r="AG23" s="215" t="s">
        <v>588</v>
      </c>
      <c r="AH23" s="215" t="s">
        <v>542</v>
      </c>
      <c r="AI23" s="215" t="s">
        <v>542</v>
      </c>
      <c r="AJ23" s="215" t="s">
        <v>588</v>
      </c>
      <c r="AK23" s="215" t="s">
        <v>542</v>
      </c>
      <c r="AL23" s="215" t="s">
        <v>588</v>
      </c>
      <c r="AM23" s="215" t="s">
        <v>542</v>
      </c>
      <c r="AN23" s="215" t="s">
        <v>588</v>
      </c>
      <c r="AO23" s="215" t="s">
        <v>542</v>
      </c>
      <c r="AP23" s="215" t="s">
        <v>542</v>
      </c>
      <c r="AQ23" s="215" t="s">
        <v>542</v>
      </c>
      <c r="AR23" s="215" t="s">
        <v>542</v>
      </c>
      <c r="AS23" s="215" t="s">
        <v>542</v>
      </c>
      <c r="AT23" s="215" t="s">
        <v>542</v>
      </c>
      <c r="AU23" s="215" t="s">
        <v>542</v>
      </c>
      <c r="AV23" s="215" t="s">
        <v>542</v>
      </c>
      <c r="AW23" s="215" t="s">
        <v>588</v>
      </c>
      <c r="AX23" s="215" t="s">
        <v>542</v>
      </c>
      <c r="AY23" s="215" t="s">
        <v>588</v>
      </c>
      <c r="AZ23" s="215" t="s">
        <v>542</v>
      </c>
      <c r="BA23" s="215" t="s">
        <v>542</v>
      </c>
      <c r="BB23" s="215" t="s">
        <v>542</v>
      </c>
      <c r="BC23" s="215" t="s">
        <v>542</v>
      </c>
      <c r="BD23" s="215" t="s">
        <v>588</v>
      </c>
      <c r="BE23" s="215" t="s">
        <v>542</v>
      </c>
      <c r="BF23" s="215" t="s">
        <v>542</v>
      </c>
      <c r="BG23" s="215" t="s">
        <v>588</v>
      </c>
      <c r="BH23" s="215" t="s">
        <v>542</v>
      </c>
      <c r="BI23" s="215" t="s">
        <v>542</v>
      </c>
      <c r="BJ23" s="215" t="s">
        <v>542</v>
      </c>
      <c r="BK23" s="215" t="s">
        <v>542</v>
      </c>
      <c r="BL23" s="215" t="s">
        <v>588</v>
      </c>
      <c r="BM23" s="215" t="s">
        <v>542</v>
      </c>
      <c r="BN23" s="215" t="s">
        <v>588</v>
      </c>
      <c r="BO23" s="215" t="s">
        <v>542</v>
      </c>
      <c r="BP23" s="215" t="s">
        <v>542</v>
      </c>
      <c r="BQ23" s="215" t="s">
        <v>542</v>
      </c>
      <c r="BR23" s="215" t="s">
        <v>542</v>
      </c>
      <c r="BS23" s="215" t="s">
        <v>542</v>
      </c>
      <c r="BT23" s="215" t="s">
        <v>542</v>
      </c>
      <c r="BU23" s="215" t="s">
        <v>542</v>
      </c>
      <c r="BV23" s="215" t="s">
        <v>588</v>
      </c>
      <c r="BW23" s="215" t="s">
        <v>542</v>
      </c>
      <c r="BX23" s="215" t="s">
        <v>542</v>
      </c>
      <c r="BY23" s="215" t="s">
        <v>542</v>
      </c>
      <c r="BZ23" s="215" t="s">
        <v>542</v>
      </c>
      <c r="CA23" s="215" t="s">
        <v>542</v>
      </c>
      <c r="CB23" s="215" t="s">
        <v>542</v>
      </c>
      <c r="CC23" s="215" t="s">
        <v>542</v>
      </c>
      <c r="CD23" s="215" t="s">
        <v>542</v>
      </c>
      <c r="CE23" s="215" t="s">
        <v>542</v>
      </c>
      <c r="CF23" s="215" t="s">
        <v>542</v>
      </c>
      <c r="CG23" s="215" t="s">
        <v>542</v>
      </c>
      <c r="CH23" s="215" t="s">
        <v>542</v>
      </c>
      <c r="CI23" s="215" t="s">
        <v>542</v>
      </c>
      <c r="CJ23" s="215" t="s">
        <v>542</v>
      </c>
      <c r="CK23" s="215" t="s">
        <v>542</v>
      </c>
      <c r="CL23" s="215" t="s">
        <v>542</v>
      </c>
      <c r="CM23" s="215" t="s">
        <v>542</v>
      </c>
      <c r="CN23" s="215" t="s">
        <v>542</v>
      </c>
      <c r="CO23" s="215" t="s">
        <v>542</v>
      </c>
      <c r="CP23" s="215" t="s">
        <v>542</v>
      </c>
      <c r="CQ23" s="215" t="s">
        <v>542</v>
      </c>
      <c r="CR23" s="215" t="s">
        <v>542</v>
      </c>
      <c r="CS23" s="215" t="s">
        <v>542</v>
      </c>
      <c r="CT23" s="215" t="s">
        <v>542</v>
      </c>
      <c r="CU23" s="215" t="s">
        <v>542</v>
      </c>
      <c r="CV23" s="215" t="s">
        <v>542</v>
      </c>
      <c r="CW23" s="215" t="s">
        <v>542</v>
      </c>
      <c r="CX23" s="215" t="s">
        <v>542</v>
      </c>
      <c r="CY23" s="215" t="s">
        <v>542</v>
      </c>
      <c r="CZ23" s="215" t="s">
        <v>542</v>
      </c>
      <c r="DA23" s="215" t="s">
        <v>542</v>
      </c>
      <c r="DB23" s="215" t="s">
        <v>542</v>
      </c>
      <c r="DC23" s="215" t="s">
        <v>542</v>
      </c>
      <c r="DD23" s="215" t="s">
        <v>542</v>
      </c>
      <c r="DE23" s="215" t="s">
        <v>542</v>
      </c>
      <c r="DF23" s="215" t="s">
        <v>542</v>
      </c>
      <c r="DG23" s="215" t="s">
        <v>542</v>
      </c>
      <c r="DH23" s="215" t="s">
        <v>542</v>
      </c>
      <c r="DI23" s="215" t="s">
        <v>542</v>
      </c>
      <c r="DJ23" s="215" t="s">
        <v>542</v>
      </c>
      <c r="DK23" s="215" t="s">
        <v>542</v>
      </c>
      <c r="DL23" s="215" t="s">
        <v>588</v>
      </c>
      <c r="DM23" s="215" t="s">
        <v>542</v>
      </c>
      <c r="DN23" s="215" t="s">
        <v>542</v>
      </c>
      <c r="DO23" s="215" t="s">
        <v>542</v>
      </c>
      <c r="DP23" s="215" t="s">
        <v>542</v>
      </c>
      <c r="DQ23" s="215" t="s">
        <v>542</v>
      </c>
      <c r="DR23" s="215" t="s">
        <v>542</v>
      </c>
      <c r="DS23" s="215" t="s">
        <v>588</v>
      </c>
      <c r="DT23" s="215" t="s">
        <v>542</v>
      </c>
      <c r="DU23" s="215" t="s">
        <v>542</v>
      </c>
      <c r="DV23" s="215" t="s">
        <v>542</v>
      </c>
      <c r="DW23" s="215" t="s">
        <v>542</v>
      </c>
      <c r="DX23" s="215" t="s">
        <v>542</v>
      </c>
      <c r="DY23" s="215" t="s">
        <v>588</v>
      </c>
      <c r="DZ23" s="215" t="s">
        <v>542</v>
      </c>
      <c r="EA23" s="215" t="s">
        <v>542</v>
      </c>
      <c r="EB23" s="215" t="s">
        <v>542</v>
      </c>
      <c r="EC23" s="215" t="s">
        <v>542</v>
      </c>
      <c r="ED23" s="215" t="s">
        <v>542</v>
      </c>
      <c r="EE23" s="215" t="s">
        <v>588</v>
      </c>
      <c r="EF23" s="215" t="s">
        <v>542</v>
      </c>
      <c r="EG23" s="215" t="s">
        <v>542</v>
      </c>
      <c r="EH23" s="215" t="s">
        <v>542</v>
      </c>
      <c r="EI23" s="215" t="s">
        <v>542</v>
      </c>
      <c r="EJ23" s="215" t="s">
        <v>542</v>
      </c>
      <c r="EK23" s="215" t="s">
        <v>588</v>
      </c>
      <c r="EL23" s="215" t="s">
        <v>542</v>
      </c>
      <c r="EM23" s="215" t="s">
        <v>542</v>
      </c>
      <c r="EN23" s="215" t="s">
        <v>542</v>
      </c>
      <c r="EO23" s="215" t="s">
        <v>542</v>
      </c>
      <c r="EP23" s="215" t="s">
        <v>542</v>
      </c>
      <c r="EQ23" s="215" t="s">
        <v>588</v>
      </c>
      <c r="ER23" s="215" t="s">
        <v>542</v>
      </c>
      <c r="ES23" s="215" t="s">
        <v>588</v>
      </c>
      <c r="ET23" s="215" t="s">
        <v>542</v>
      </c>
      <c r="EU23" s="215" t="s">
        <v>542</v>
      </c>
      <c r="EV23" s="215" t="s">
        <v>542</v>
      </c>
      <c r="EW23" s="215" t="s">
        <v>542</v>
      </c>
      <c r="EX23" s="215" t="s">
        <v>542</v>
      </c>
      <c r="EY23" s="215" t="s">
        <v>542</v>
      </c>
      <c r="EZ23" s="215" t="s">
        <v>588</v>
      </c>
      <c r="FA23" s="215" t="s">
        <v>542</v>
      </c>
      <c r="FB23" s="215" t="s">
        <v>542</v>
      </c>
      <c r="FC23" s="215" t="s">
        <v>542</v>
      </c>
      <c r="FD23" s="215" t="s">
        <v>542</v>
      </c>
      <c r="FE23" s="215" t="s">
        <v>542</v>
      </c>
      <c r="FF23" s="215" t="s">
        <v>588</v>
      </c>
      <c r="FG23" s="215" t="s">
        <v>542</v>
      </c>
      <c r="FH23" s="215" t="s">
        <v>542</v>
      </c>
      <c r="FI23" s="215" t="s">
        <v>542</v>
      </c>
      <c r="FJ23" s="215" t="s">
        <v>542</v>
      </c>
      <c r="FK23" s="215" t="s">
        <v>542</v>
      </c>
      <c r="FL23" s="215" t="s">
        <v>588</v>
      </c>
      <c r="FM23" s="215" t="s">
        <v>542</v>
      </c>
      <c r="FN23" s="215" t="s">
        <v>542</v>
      </c>
      <c r="FO23" s="215" t="s">
        <v>542</v>
      </c>
      <c r="FP23" s="215" t="s">
        <v>542</v>
      </c>
      <c r="FQ23" s="215" t="s">
        <v>542</v>
      </c>
      <c r="FR23" s="215" t="s">
        <v>588</v>
      </c>
      <c r="FS23" s="215" t="s">
        <v>542</v>
      </c>
      <c r="FT23" s="215" t="s">
        <v>542</v>
      </c>
      <c r="FU23" s="215" t="s">
        <v>542</v>
      </c>
      <c r="FV23" s="215" t="s">
        <v>542</v>
      </c>
      <c r="FW23" s="215" t="s">
        <v>542</v>
      </c>
      <c r="FX23" s="215" t="s">
        <v>588</v>
      </c>
      <c r="FY23" s="215" t="s">
        <v>542</v>
      </c>
      <c r="FZ23" s="215" t="s">
        <v>588</v>
      </c>
      <c r="GA23" s="215" t="s">
        <v>542</v>
      </c>
      <c r="GB23" s="215" t="s">
        <v>542</v>
      </c>
      <c r="GC23" s="215" t="s">
        <v>542</v>
      </c>
      <c r="GD23" s="215" t="s">
        <v>542</v>
      </c>
      <c r="GE23" s="215" t="s">
        <v>542</v>
      </c>
      <c r="GF23" s="215" t="s">
        <v>542</v>
      </c>
      <c r="GG23" s="215" t="s">
        <v>542</v>
      </c>
      <c r="GH23" s="215" t="s">
        <v>588</v>
      </c>
      <c r="GI23" s="215" t="s">
        <v>542</v>
      </c>
      <c r="GJ23" s="215" t="s">
        <v>588</v>
      </c>
    </row>
    <row r="24" spans="1:192" x14ac:dyDescent="0.2">
      <c r="A24" s="215" t="s">
        <v>573</v>
      </c>
      <c r="B24" s="215">
        <v>2024</v>
      </c>
      <c r="C24" s="215" t="s">
        <v>541</v>
      </c>
      <c r="D24" s="215" t="s">
        <v>542</v>
      </c>
      <c r="E24" s="215" t="s">
        <v>542</v>
      </c>
      <c r="F24" s="215" t="s">
        <v>542</v>
      </c>
      <c r="G24" s="215" t="s">
        <v>542</v>
      </c>
      <c r="H24" s="215" t="s">
        <v>542</v>
      </c>
      <c r="I24" s="215" t="s">
        <v>588</v>
      </c>
      <c r="J24" s="215" t="s">
        <v>542</v>
      </c>
      <c r="K24" s="215" t="s">
        <v>542</v>
      </c>
      <c r="L24" s="215" t="s">
        <v>542</v>
      </c>
      <c r="M24" s="215" t="s">
        <v>542</v>
      </c>
      <c r="N24" s="215" t="s">
        <v>542</v>
      </c>
      <c r="O24" s="215" t="s">
        <v>542</v>
      </c>
      <c r="P24" s="215" t="s">
        <v>542</v>
      </c>
      <c r="Q24" s="215" t="s">
        <v>542</v>
      </c>
      <c r="R24" s="215" t="s">
        <v>542</v>
      </c>
      <c r="S24" s="215" t="s">
        <v>588</v>
      </c>
      <c r="T24" s="215" t="s">
        <v>542</v>
      </c>
      <c r="U24" s="215" t="s">
        <v>588</v>
      </c>
      <c r="V24" s="215" t="s">
        <v>541</v>
      </c>
      <c r="W24" s="215" t="s">
        <v>542</v>
      </c>
      <c r="X24" s="215" t="s">
        <v>542</v>
      </c>
      <c r="Y24" s="215" t="s">
        <v>541</v>
      </c>
      <c r="Z24" s="215" t="s">
        <v>541</v>
      </c>
      <c r="AA24" s="215" t="s">
        <v>541</v>
      </c>
      <c r="AB24" s="215" t="s">
        <v>542</v>
      </c>
      <c r="AC24" s="215" t="s">
        <v>542</v>
      </c>
      <c r="AD24" s="215" t="s">
        <v>542</v>
      </c>
      <c r="AE24" s="215" t="s">
        <v>542</v>
      </c>
      <c r="AF24" s="215" t="s">
        <v>541</v>
      </c>
      <c r="AG24" s="215" t="s">
        <v>588</v>
      </c>
      <c r="AH24" s="215" t="s">
        <v>542</v>
      </c>
      <c r="AI24" s="215" t="s">
        <v>542</v>
      </c>
      <c r="AJ24" s="215" t="s">
        <v>588</v>
      </c>
      <c r="AK24" s="215" t="s">
        <v>542</v>
      </c>
      <c r="AL24" s="215" t="s">
        <v>588</v>
      </c>
      <c r="AM24" s="215" t="s">
        <v>542</v>
      </c>
      <c r="AN24" s="215" t="s">
        <v>588</v>
      </c>
      <c r="AO24" s="215" t="s">
        <v>542</v>
      </c>
      <c r="AP24" s="215" t="s">
        <v>542</v>
      </c>
      <c r="AQ24" s="215" t="s">
        <v>542</v>
      </c>
      <c r="AR24" s="215" t="s">
        <v>542</v>
      </c>
      <c r="AS24" s="215" t="s">
        <v>542</v>
      </c>
      <c r="AT24" s="215" t="s">
        <v>542</v>
      </c>
      <c r="AU24" s="215" t="s">
        <v>542</v>
      </c>
      <c r="AV24" s="215" t="s">
        <v>542</v>
      </c>
      <c r="AW24" s="215" t="s">
        <v>588</v>
      </c>
      <c r="AX24" s="215" t="s">
        <v>542</v>
      </c>
      <c r="AY24" s="215" t="s">
        <v>588</v>
      </c>
      <c r="AZ24" s="215" t="s">
        <v>542</v>
      </c>
      <c r="BA24" s="215" t="s">
        <v>542</v>
      </c>
      <c r="BB24" s="215" t="s">
        <v>542</v>
      </c>
      <c r="BC24" s="215" t="s">
        <v>542</v>
      </c>
      <c r="BD24" s="215" t="s">
        <v>588</v>
      </c>
      <c r="BE24" s="215" t="s">
        <v>542</v>
      </c>
      <c r="BF24" s="215" t="s">
        <v>542</v>
      </c>
      <c r="BG24" s="215" t="s">
        <v>588</v>
      </c>
      <c r="BH24" s="215" t="s">
        <v>542</v>
      </c>
      <c r="BI24" s="215" t="s">
        <v>542</v>
      </c>
      <c r="BJ24" s="215" t="s">
        <v>542</v>
      </c>
      <c r="BK24" s="215" t="s">
        <v>542</v>
      </c>
      <c r="BL24" s="215" t="s">
        <v>588</v>
      </c>
      <c r="BM24" s="215" t="s">
        <v>542</v>
      </c>
      <c r="BN24" s="215" t="s">
        <v>588</v>
      </c>
      <c r="BO24" s="215" t="s">
        <v>542</v>
      </c>
      <c r="BP24" s="215" t="s">
        <v>542</v>
      </c>
      <c r="BQ24" s="215" t="s">
        <v>542</v>
      </c>
      <c r="BR24" s="215" t="s">
        <v>542</v>
      </c>
      <c r="BS24" s="215" t="s">
        <v>542</v>
      </c>
      <c r="BT24" s="215" t="s">
        <v>542</v>
      </c>
      <c r="BU24" s="215" t="s">
        <v>542</v>
      </c>
      <c r="BV24" s="215" t="s">
        <v>588</v>
      </c>
      <c r="BW24" s="215" t="s">
        <v>542</v>
      </c>
      <c r="BX24" s="215" t="s">
        <v>542</v>
      </c>
      <c r="BY24" s="215" t="s">
        <v>542</v>
      </c>
      <c r="BZ24" s="215" t="s">
        <v>542</v>
      </c>
      <c r="CA24" s="215" t="s">
        <v>542</v>
      </c>
      <c r="CB24" s="215" t="s">
        <v>542</v>
      </c>
      <c r="CC24" s="215" t="s">
        <v>542</v>
      </c>
      <c r="CD24" s="215" t="s">
        <v>542</v>
      </c>
      <c r="CE24" s="215" t="s">
        <v>542</v>
      </c>
      <c r="CF24" s="215" t="s">
        <v>542</v>
      </c>
      <c r="CG24" s="215" t="s">
        <v>542</v>
      </c>
      <c r="CH24" s="215" t="s">
        <v>542</v>
      </c>
      <c r="CI24" s="215" t="s">
        <v>542</v>
      </c>
      <c r="CJ24" s="215" t="s">
        <v>542</v>
      </c>
      <c r="CK24" s="215" t="s">
        <v>542</v>
      </c>
      <c r="CL24" s="215" t="s">
        <v>542</v>
      </c>
      <c r="CM24" s="215" t="s">
        <v>542</v>
      </c>
      <c r="CN24" s="215" t="s">
        <v>542</v>
      </c>
      <c r="CO24" s="215" t="s">
        <v>542</v>
      </c>
      <c r="CP24" s="215" t="s">
        <v>542</v>
      </c>
      <c r="CQ24" s="215" t="s">
        <v>542</v>
      </c>
      <c r="CR24" s="215" t="s">
        <v>542</v>
      </c>
      <c r="CS24" s="215" t="s">
        <v>542</v>
      </c>
      <c r="CT24" s="215" t="s">
        <v>542</v>
      </c>
      <c r="CU24" s="215" t="s">
        <v>542</v>
      </c>
      <c r="CV24" s="215" t="s">
        <v>542</v>
      </c>
      <c r="CW24" s="215" t="s">
        <v>542</v>
      </c>
      <c r="CX24" s="215" t="s">
        <v>542</v>
      </c>
      <c r="CY24" s="215" t="s">
        <v>542</v>
      </c>
      <c r="CZ24" s="215" t="s">
        <v>542</v>
      </c>
      <c r="DA24" s="215" t="s">
        <v>542</v>
      </c>
      <c r="DB24" s="215" t="s">
        <v>542</v>
      </c>
      <c r="DC24" s="215" t="s">
        <v>542</v>
      </c>
      <c r="DD24" s="215" t="s">
        <v>542</v>
      </c>
      <c r="DE24" s="215" t="s">
        <v>542</v>
      </c>
      <c r="DF24" s="215" t="s">
        <v>542</v>
      </c>
      <c r="DG24" s="215" t="s">
        <v>542</v>
      </c>
      <c r="DH24" s="215" t="s">
        <v>542</v>
      </c>
      <c r="DI24" s="215" t="s">
        <v>542</v>
      </c>
      <c r="DJ24" s="215" t="s">
        <v>542</v>
      </c>
      <c r="DK24" s="215" t="s">
        <v>542</v>
      </c>
      <c r="DL24" s="215" t="s">
        <v>588</v>
      </c>
      <c r="DM24" s="215" t="s">
        <v>542</v>
      </c>
      <c r="DN24" s="215" t="s">
        <v>542</v>
      </c>
      <c r="DO24" s="215" t="s">
        <v>542</v>
      </c>
      <c r="DP24" s="215" t="s">
        <v>542</v>
      </c>
      <c r="DQ24" s="215" t="s">
        <v>542</v>
      </c>
      <c r="DR24" s="215" t="s">
        <v>542</v>
      </c>
      <c r="DS24" s="215" t="s">
        <v>588</v>
      </c>
      <c r="DT24" s="215" t="s">
        <v>542</v>
      </c>
      <c r="DU24" s="215" t="s">
        <v>542</v>
      </c>
      <c r="DV24" s="215" t="s">
        <v>542</v>
      </c>
      <c r="DW24" s="215" t="s">
        <v>542</v>
      </c>
      <c r="DX24" s="215" t="s">
        <v>542</v>
      </c>
      <c r="DY24" s="215" t="s">
        <v>588</v>
      </c>
      <c r="DZ24" s="215" t="s">
        <v>542</v>
      </c>
      <c r="EA24" s="215" t="s">
        <v>542</v>
      </c>
      <c r="EB24" s="215" t="s">
        <v>542</v>
      </c>
      <c r="EC24" s="215" t="s">
        <v>542</v>
      </c>
      <c r="ED24" s="215" t="s">
        <v>542</v>
      </c>
      <c r="EE24" s="215" t="s">
        <v>588</v>
      </c>
      <c r="EF24" s="215" t="s">
        <v>542</v>
      </c>
      <c r="EG24" s="215" t="s">
        <v>542</v>
      </c>
      <c r="EH24" s="215" t="s">
        <v>542</v>
      </c>
      <c r="EI24" s="215" t="s">
        <v>542</v>
      </c>
      <c r="EJ24" s="215" t="s">
        <v>542</v>
      </c>
      <c r="EK24" s="215" t="s">
        <v>588</v>
      </c>
      <c r="EL24" s="215" t="s">
        <v>542</v>
      </c>
      <c r="EM24" s="215" t="s">
        <v>542</v>
      </c>
      <c r="EN24" s="215" t="s">
        <v>542</v>
      </c>
      <c r="EO24" s="215" t="s">
        <v>542</v>
      </c>
      <c r="EP24" s="215" t="s">
        <v>542</v>
      </c>
      <c r="EQ24" s="215" t="s">
        <v>588</v>
      </c>
      <c r="ER24" s="215" t="s">
        <v>542</v>
      </c>
      <c r="ES24" s="215" t="s">
        <v>588</v>
      </c>
      <c r="ET24" s="215" t="s">
        <v>542</v>
      </c>
      <c r="EU24" s="215" t="s">
        <v>542</v>
      </c>
      <c r="EV24" s="215" t="s">
        <v>542</v>
      </c>
      <c r="EW24" s="215" t="s">
        <v>542</v>
      </c>
      <c r="EX24" s="215" t="s">
        <v>542</v>
      </c>
      <c r="EY24" s="215" t="s">
        <v>542</v>
      </c>
      <c r="EZ24" s="215" t="s">
        <v>588</v>
      </c>
      <c r="FA24" s="215" t="s">
        <v>542</v>
      </c>
      <c r="FB24" s="215" t="s">
        <v>542</v>
      </c>
      <c r="FC24" s="215" t="s">
        <v>542</v>
      </c>
      <c r="FD24" s="215" t="s">
        <v>542</v>
      </c>
      <c r="FE24" s="215" t="s">
        <v>542</v>
      </c>
      <c r="FF24" s="215" t="s">
        <v>588</v>
      </c>
      <c r="FG24" s="215" t="s">
        <v>542</v>
      </c>
      <c r="FH24" s="215" t="s">
        <v>542</v>
      </c>
      <c r="FI24" s="215" t="s">
        <v>542</v>
      </c>
      <c r="FJ24" s="215" t="s">
        <v>542</v>
      </c>
      <c r="FK24" s="215" t="s">
        <v>542</v>
      </c>
      <c r="FL24" s="215" t="s">
        <v>588</v>
      </c>
      <c r="FM24" s="215" t="s">
        <v>542</v>
      </c>
      <c r="FN24" s="215" t="s">
        <v>542</v>
      </c>
      <c r="FO24" s="215" t="s">
        <v>542</v>
      </c>
      <c r="FP24" s="215" t="s">
        <v>542</v>
      </c>
      <c r="FQ24" s="215" t="s">
        <v>542</v>
      </c>
      <c r="FR24" s="215" t="s">
        <v>588</v>
      </c>
      <c r="FS24" s="215" t="s">
        <v>542</v>
      </c>
      <c r="FT24" s="215" t="s">
        <v>542</v>
      </c>
      <c r="FU24" s="215" t="s">
        <v>542</v>
      </c>
      <c r="FV24" s="215" t="s">
        <v>542</v>
      </c>
      <c r="FW24" s="215" t="s">
        <v>542</v>
      </c>
      <c r="FX24" s="215" t="s">
        <v>588</v>
      </c>
      <c r="FY24" s="215" t="s">
        <v>542</v>
      </c>
      <c r="FZ24" s="215" t="s">
        <v>588</v>
      </c>
      <c r="GA24" s="215" t="s">
        <v>542</v>
      </c>
      <c r="GB24" s="215" t="s">
        <v>542</v>
      </c>
      <c r="GC24" s="215" t="s">
        <v>542</v>
      </c>
      <c r="GD24" s="215" t="s">
        <v>542</v>
      </c>
      <c r="GE24" s="215" t="s">
        <v>542</v>
      </c>
      <c r="GF24" s="215" t="s">
        <v>542</v>
      </c>
      <c r="GG24" s="215" t="s">
        <v>542</v>
      </c>
      <c r="GH24" s="215" t="s">
        <v>588</v>
      </c>
      <c r="GI24" s="215" t="s">
        <v>542</v>
      </c>
      <c r="GJ24" s="215" t="s">
        <v>588</v>
      </c>
    </row>
    <row r="25" spans="1:192" x14ac:dyDescent="0.2">
      <c r="A25" s="215" t="s">
        <v>574</v>
      </c>
      <c r="B25" s="215">
        <v>2024</v>
      </c>
      <c r="C25" s="215" t="s">
        <v>541</v>
      </c>
      <c r="D25" s="215" t="s">
        <v>542</v>
      </c>
      <c r="E25" s="215" t="s">
        <v>542</v>
      </c>
      <c r="F25" s="215" t="s">
        <v>542</v>
      </c>
      <c r="G25" s="215" t="s">
        <v>542</v>
      </c>
      <c r="H25" s="215" t="s">
        <v>542</v>
      </c>
      <c r="I25" s="215" t="s">
        <v>588</v>
      </c>
      <c r="J25" s="215" t="s">
        <v>542</v>
      </c>
      <c r="K25" s="215" t="s">
        <v>542</v>
      </c>
      <c r="L25" s="215" t="s">
        <v>542</v>
      </c>
      <c r="M25" s="215" t="s">
        <v>541</v>
      </c>
      <c r="N25" s="215" t="s">
        <v>541</v>
      </c>
      <c r="O25" s="215" t="s">
        <v>541</v>
      </c>
      <c r="P25" s="215" t="s">
        <v>541</v>
      </c>
      <c r="Q25" s="215" t="s">
        <v>542</v>
      </c>
      <c r="R25" s="215" t="s">
        <v>541</v>
      </c>
      <c r="S25" s="215" t="s">
        <v>588</v>
      </c>
      <c r="T25" s="215" t="s">
        <v>542</v>
      </c>
      <c r="U25" s="215" t="s">
        <v>588</v>
      </c>
      <c r="V25" s="215" t="s">
        <v>542</v>
      </c>
      <c r="W25" s="215" t="s">
        <v>542</v>
      </c>
      <c r="X25" s="215" t="s">
        <v>542</v>
      </c>
      <c r="Y25" s="215" t="s">
        <v>542</v>
      </c>
      <c r="Z25" s="215" t="s">
        <v>541</v>
      </c>
      <c r="AA25" s="215" t="s">
        <v>541</v>
      </c>
      <c r="AB25" s="215" t="s">
        <v>542</v>
      </c>
      <c r="AC25" s="215" t="s">
        <v>542</v>
      </c>
      <c r="AD25" s="215" t="s">
        <v>542</v>
      </c>
      <c r="AE25" s="215" t="s">
        <v>542</v>
      </c>
      <c r="AF25" s="215" t="s">
        <v>542</v>
      </c>
      <c r="AG25" s="215" t="s">
        <v>588</v>
      </c>
      <c r="AH25" s="215" t="s">
        <v>542</v>
      </c>
      <c r="AI25" s="215" t="s">
        <v>542</v>
      </c>
      <c r="AJ25" s="215" t="s">
        <v>588</v>
      </c>
      <c r="AK25" s="215" t="s">
        <v>542</v>
      </c>
      <c r="AL25" s="215" t="s">
        <v>588</v>
      </c>
      <c r="AM25" s="215" t="s">
        <v>542</v>
      </c>
      <c r="AN25" s="215" t="s">
        <v>588</v>
      </c>
      <c r="AO25" s="215" t="s">
        <v>542</v>
      </c>
      <c r="AP25" s="215" t="s">
        <v>542</v>
      </c>
      <c r="AQ25" s="215" t="s">
        <v>542</v>
      </c>
      <c r="AR25" s="215" t="s">
        <v>542</v>
      </c>
      <c r="AS25" s="215" t="s">
        <v>542</v>
      </c>
      <c r="AT25" s="215" t="s">
        <v>542</v>
      </c>
      <c r="AU25" s="215" t="s">
        <v>542</v>
      </c>
      <c r="AV25" s="215" t="s">
        <v>542</v>
      </c>
      <c r="AW25" s="215" t="s">
        <v>588</v>
      </c>
      <c r="AX25" s="215" t="s">
        <v>542</v>
      </c>
      <c r="AY25" s="215" t="s">
        <v>588</v>
      </c>
      <c r="AZ25" s="215" t="s">
        <v>542</v>
      </c>
      <c r="BA25" s="215" t="s">
        <v>542</v>
      </c>
      <c r="BB25" s="215" t="s">
        <v>542</v>
      </c>
      <c r="BC25" s="215" t="s">
        <v>542</v>
      </c>
      <c r="BD25" s="215" t="s">
        <v>588</v>
      </c>
      <c r="BE25" s="215" t="s">
        <v>542</v>
      </c>
      <c r="BF25" s="215" t="s">
        <v>542</v>
      </c>
      <c r="BG25" s="215" t="s">
        <v>588</v>
      </c>
      <c r="BH25" s="215" t="s">
        <v>542</v>
      </c>
      <c r="BI25" s="215" t="s">
        <v>542</v>
      </c>
      <c r="BJ25" s="215" t="s">
        <v>542</v>
      </c>
      <c r="BK25" s="215" t="s">
        <v>542</v>
      </c>
      <c r="BL25" s="215" t="s">
        <v>588</v>
      </c>
      <c r="BM25" s="215" t="s">
        <v>542</v>
      </c>
      <c r="BN25" s="215" t="s">
        <v>588</v>
      </c>
      <c r="BO25" s="215" t="s">
        <v>542</v>
      </c>
      <c r="BP25" s="215" t="s">
        <v>542</v>
      </c>
      <c r="BQ25" s="215" t="s">
        <v>542</v>
      </c>
      <c r="BR25" s="215" t="s">
        <v>542</v>
      </c>
      <c r="BS25" s="215" t="s">
        <v>542</v>
      </c>
      <c r="BT25" s="215" t="s">
        <v>542</v>
      </c>
      <c r="BU25" s="215" t="s">
        <v>542</v>
      </c>
      <c r="BV25" s="215" t="s">
        <v>588</v>
      </c>
      <c r="BW25" s="215" t="s">
        <v>541</v>
      </c>
      <c r="BX25" s="215" t="s">
        <v>542</v>
      </c>
      <c r="BY25" s="215" t="s">
        <v>542</v>
      </c>
      <c r="BZ25" s="215" t="s">
        <v>542</v>
      </c>
      <c r="CA25" s="215" t="s">
        <v>542</v>
      </c>
      <c r="CB25" s="215" t="s">
        <v>542</v>
      </c>
      <c r="CC25" s="215" t="s">
        <v>542</v>
      </c>
      <c r="CD25" s="215" t="s">
        <v>542</v>
      </c>
      <c r="CE25" s="215" t="s">
        <v>542</v>
      </c>
      <c r="CF25" s="215" t="s">
        <v>542</v>
      </c>
      <c r="CG25" s="215" t="s">
        <v>542</v>
      </c>
      <c r="CH25" s="215" t="s">
        <v>542</v>
      </c>
      <c r="CI25" s="215" t="s">
        <v>542</v>
      </c>
      <c r="CJ25" s="215" t="s">
        <v>542</v>
      </c>
      <c r="CK25" s="215" t="s">
        <v>542</v>
      </c>
      <c r="CL25" s="215" t="s">
        <v>542</v>
      </c>
      <c r="CM25" s="215" t="s">
        <v>542</v>
      </c>
      <c r="CN25" s="215" t="s">
        <v>541</v>
      </c>
      <c r="CO25" s="215" t="s">
        <v>542</v>
      </c>
      <c r="CP25" s="215" t="s">
        <v>542</v>
      </c>
      <c r="CQ25" s="215" t="s">
        <v>542</v>
      </c>
      <c r="CR25" s="215" t="s">
        <v>542</v>
      </c>
      <c r="CS25" s="215" t="s">
        <v>542</v>
      </c>
      <c r="CT25" s="215" t="s">
        <v>542</v>
      </c>
      <c r="CU25" s="215" t="s">
        <v>542</v>
      </c>
      <c r="CV25" s="215" t="s">
        <v>542</v>
      </c>
      <c r="CW25" s="215" t="s">
        <v>542</v>
      </c>
      <c r="CX25" s="215" t="s">
        <v>542</v>
      </c>
      <c r="CY25" s="215" t="s">
        <v>542</v>
      </c>
      <c r="CZ25" s="215" t="s">
        <v>542</v>
      </c>
      <c r="DA25" s="215" t="s">
        <v>542</v>
      </c>
      <c r="DB25" s="215" t="s">
        <v>542</v>
      </c>
      <c r="DC25" s="215" t="s">
        <v>542</v>
      </c>
      <c r="DD25" s="215" t="s">
        <v>542</v>
      </c>
      <c r="DE25" s="215" t="s">
        <v>542</v>
      </c>
      <c r="DF25" s="215" t="s">
        <v>541</v>
      </c>
      <c r="DG25" s="215" t="s">
        <v>542</v>
      </c>
      <c r="DH25" s="215" t="s">
        <v>541</v>
      </c>
      <c r="DI25" s="215" t="s">
        <v>542</v>
      </c>
      <c r="DJ25" s="215" t="s">
        <v>541</v>
      </c>
      <c r="DK25" s="215" t="s">
        <v>542</v>
      </c>
      <c r="DL25" s="215" t="s">
        <v>588</v>
      </c>
      <c r="DM25" s="215" t="s">
        <v>541</v>
      </c>
      <c r="DN25" s="215" t="s">
        <v>542</v>
      </c>
      <c r="DO25" s="215" t="s">
        <v>542</v>
      </c>
      <c r="DP25" s="215" t="s">
        <v>542</v>
      </c>
      <c r="DQ25" s="215" t="s">
        <v>542</v>
      </c>
      <c r="DR25" s="215" t="s">
        <v>542</v>
      </c>
      <c r="DS25" s="215" t="s">
        <v>588</v>
      </c>
      <c r="DT25" s="215" t="s">
        <v>542</v>
      </c>
      <c r="DU25" s="215" t="s">
        <v>542</v>
      </c>
      <c r="DV25" s="215" t="s">
        <v>542</v>
      </c>
      <c r="DW25" s="215" t="s">
        <v>542</v>
      </c>
      <c r="DX25" s="215" t="s">
        <v>542</v>
      </c>
      <c r="DY25" s="215" t="s">
        <v>588</v>
      </c>
      <c r="DZ25" s="215" t="s">
        <v>542</v>
      </c>
      <c r="EA25" s="215" t="s">
        <v>542</v>
      </c>
      <c r="EB25" s="215" t="s">
        <v>542</v>
      </c>
      <c r="EC25" s="215" t="s">
        <v>542</v>
      </c>
      <c r="ED25" s="215" t="s">
        <v>542</v>
      </c>
      <c r="EE25" s="215" t="s">
        <v>588</v>
      </c>
      <c r="EF25" s="215" t="s">
        <v>542</v>
      </c>
      <c r="EG25" s="215" t="s">
        <v>542</v>
      </c>
      <c r="EH25" s="215" t="s">
        <v>542</v>
      </c>
      <c r="EI25" s="215" t="s">
        <v>542</v>
      </c>
      <c r="EJ25" s="215" t="s">
        <v>542</v>
      </c>
      <c r="EK25" s="215" t="s">
        <v>588</v>
      </c>
      <c r="EL25" s="215" t="s">
        <v>541</v>
      </c>
      <c r="EM25" s="215" t="s">
        <v>541</v>
      </c>
      <c r="EN25" s="215" t="s">
        <v>542</v>
      </c>
      <c r="EO25" s="215" t="s">
        <v>542</v>
      </c>
      <c r="EP25" s="215" t="s">
        <v>542</v>
      </c>
      <c r="EQ25" s="215">
        <v>0.9</v>
      </c>
      <c r="ER25" s="215" t="s">
        <v>542</v>
      </c>
      <c r="ES25" s="215" t="s">
        <v>588</v>
      </c>
      <c r="ET25" s="215" t="s">
        <v>542</v>
      </c>
      <c r="EU25" s="215" t="s">
        <v>542</v>
      </c>
      <c r="EV25" s="215" t="s">
        <v>542</v>
      </c>
      <c r="EW25" s="215" t="s">
        <v>542</v>
      </c>
      <c r="EX25" s="215" t="s">
        <v>542</v>
      </c>
      <c r="EY25" s="215" t="s">
        <v>542</v>
      </c>
      <c r="EZ25" s="215" t="s">
        <v>588</v>
      </c>
      <c r="FA25" s="215" t="s">
        <v>542</v>
      </c>
      <c r="FB25" s="215" t="s">
        <v>542</v>
      </c>
      <c r="FC25" s="215" t="s">
        <v>542</v>
      </c>
      <c r="FD25" s="215" t="s">
        <v>542</v>
      </c>
      <c r="FE25" s="215" t="s">
        <v>542</v>
      </c>
      <c r="FF25" s="215" t="s">
        <v>588</v>
      </c>
      <c r="FG25" s="215" t="s">
        <v>542</v>
      </c>
      <c r="FH25" s="215" t="s">
        <v>542</v>
      </c>
      <c r="FI25" s="215" t="s">
        <v>542</v>
      </c>
      <c r="FJ25" s="215" t="s">
        <v>542</v>
      </c>
      <c r="FK25" s="215" t="s">
        <v>542</v>
      </c>
      <c r="FL25" s="215" t="s">
        <v>588</v>
      </c>
      <c r="FM25" s="215" t="s">
        <v>542</v>
      </c>
      <c r="FN25" s="215" t="s">
        <v>542</v>
      </c>
      <c r="FO25" s="215" t="s">
        <v>542</v>
      </c>
      <c r="FP25" s="215" t="s">
        <v>542</v>
      </c>
      <c r="FQ25" s="215" t="s">
        <v>542</v>
      </c>
      <c r="FR25" s="215" t="s">
        <v>588</v>
      </c>
      <c r="FS25" s="215" t="s">
        <v>542</v>
      </c>
      <c r="FT25" s="215" t="s">
        <v>542</v>
      </c>
      <c r="FU25" s="215" t="s">
        <v>542</v>
      </c>
      <c r="FV25" s="215" t="s">
        <v>542</v>
      </c>
      <c r="FW25" s="215" t="s">
        <v>542</v>
      </c>
      <c r="FX25" s="215" t="s">
        <v>588</v>
      </c>
      <c r="FY25" s="215" t="s">
        <v>542</v>
      </c>
      <c r="FZ25" s="215" t="s">
        <v>588</v>
      </c>
      <c r="GA25" s="215" t="s">
        <v>542</v>
      </c>
      <c r="GB25" s="215" t="s">
        <v>542</v>
      </c>
      <c r="GC25" s="215" t="s">
        <v>542</v>
      </c>
      <c r="GD25" s="215" t="s">
        <v>542</v>
      </c>
      <c r="GE25" s="215" t="s">
        <v>542</v>
      </c>
      <c r="GF25" s="215" t="s">
        <v>542</v>
      </c>
      <c r="GG25" s="215" t="s">
        <v>542</v>
      </c>
      <c r="GH25" s="215" t="s">
        <v>588</v>
      </c>
      <c r="GI25" s="215" t="s">
        <v>542</v>
      </c>
      <c r="GJ25" s="215" t="s">
        <v>588</v>
      </c>
    </row>
    <row r="26" spans="1:192" x14ac:dyDescent="0.2">
      <c r="A26" s="215" t="s">
        <v>575</v>
      </c>
      <c r="B26" s="215">
        <v>2024</v>
      </c>
      <c r="C26" s="215" t="s">
        <v>541</v>
      </c>
      <c r="D26" s="215" t="s">
        <v>542</v>
      </c>
      <c r="E26" s="215" t="s">
        <v>542</v>
      </c>
      <c r="F26" s="215" t="s">
        <v>542</v>
      </c>
      <c r="G26" s="215" t="s">
        <v>542</v>
      </c>
      <c r="H26" s="215" t="s">
        <v>542</v>
      </c>
      <c r="I26" s="215" t="s">
        <v>588</v>
      </c>
      <c r="J26" s="215" t="s">
        <v>542</v>
      </c>
      <c r="K26" s="215" t="s">
        <v>542</v>
      </c>
      <c r="L26" s="215" t="s">
        <v>542</v>
      </c>
      <c r="M26" s="215" t="s">
        <v>542</v>
      </c>
      <c r="N26" s="215" t="s">
        <v>542</v>
      </c>
      <c r="O26" s="215" t="s">
        <v>542</v>
      </c>
      <c r="P26" s="215" t="s">
        <v>542</v>
      </c>
      <c r="Q26" s="215" t="s">
        <v>542</v>
      </c>
      <c r="R26" s="215" t="s">
        <v>542</v>
      </c>
      <c r="S26" s="215" t="s">
        <v>588</v>
      </c>
      <c r="T26" s="215" t="s">
        <v>542</v>
      </c>
      <c r="U26" s="215" t="s">
        <v>588</v>
      </c>
      <c r="V26" s="215" t="s">
        <v>541</v>
      </c>
      <c r="W26" s="215" t="s">
        <v>541</v>
      </c>
      <c r="X26" s="215" t="s">
        <v>541</v>
      </c>
      <c r="Y26" s="215" t="s">
        <v>542</v>
      </c>
      <c r="Z26" s="215" t="s">
        <v>542</v>
      </c>
      <c r="AA26" s="215" t="s">
        <v>541</v>
      </c>
      <c r="AB26" s="215" t="s">
        <v>542</v>
      </c>
      <c r="AC26" s="215" t="s">
        <v>542</v>
      </c>
      <c r="AD26" s="215" t="s">
        <v>542</v>
      </c>
      <c r="AE26" s="215" t="s">
        <v>542</v>
      </c>
      <c r="AF26" s="215" t="s">
        <v>541</v>
      </c>
      <c r="AG26" s="215" t="s">
        <v>602</v>
      </c>
      <c r="AH26" s="215" t="s">
        <v>542</v>
      </c>
      <c r="AI26" s="215" t="s">
        <v>542</v>
      </c>
      <c r="AJ26" s="215" t="s">
        <v>588</v>
      </c>
      <c r="AK26" s="215" t="s">
        <v>542</v>
      </c>
      <c r="AL26" s="215" t="s">
        <v>588</v>
      </c>
      <c r="AM26" s="215" t="s">
        <v>542</v>
      </c>
      <c r="AN26" s="215" t="s">
        <v>588</v>
      </c>
      <c r="AO26" s="215" t="s">
        <v>542</v>
      </c>
      <c r="AP26" s="215" t="s">
        <v>542</v>
      </c>
      <c r="AQ26" s="215" t="s">
        <v>542</v>
      </c>
      <c r="AR26" s="215" t="s">
        <v>542</v>
      </c>
      <c r="AS26" s="215" t="s">
        <v>542</v>
      </c>
      <c r="AT26" s="215" t="s">
        <v>542</v>
      </c>
      <c r="AU26" s="215" t="s">
        <v>542</v>
      </c>
      <c r="AV26" s="215" t="s">
        <v>542</v>
      </c>
      <c r="AW26" s="215" t="s">
        <v>588</v>
      </c>
      <c r="AX26" s="215" t="s">
        <v>542</v>
      </c>
      <c r="AY26" s="215" t="s">
        <v>588</v>
      </c>
      <c r="AZ26" s="215" t="s">
        <v>542</v>
      </c>
      <c r="BA26" s="215" t="s">
        <v>542</v>
      </c>
      <c r="BB26" s="215" t="s">
        <v>542</v>
      </c>
      <c r="BC26" s="215" t="s">
        <v>542</v>
      </c>
      <c r="BD26" s="215" t="s">
        <v>588</v>
      </c>
      <c r="BE26" s="215" t="s">
        <v>542</v>
      </c>
      <c r="BF26" s="215" t="s">
        <v>542</v>
      </c>
      <c r="BG26" s="215" t="s">
        <v>588</v>
      </c>
      <c r="BH26" s="215" t="s">
        <v>542</v>
      </c>
      <c r="BI26" s="215" t="s">
        <v>542</v>
      </c>
      <c r="BJ26" s="215" t="s">
        <v>542</v>
      </c>
      <c r="BK26" s="215" t="s">
        <v>542</v>
      </c>
      <c r="BL26" s="215" t="s">
        <v>588</v>
      </c>
      <c r="BM26" s="215" t="s">
        <v>542</v>
      </c>
      <c r="BN26" s="215" t="s">
        <v>588</v>
      </c>
      <c r="BO26" s="215" t="s">
        <v>542</v>
      </c>
      <c r="BP26" s="215" t="s">
        <v>542</v>
      </c>
      <c r="BQ26" s="215" t="s">
        <v>542</v>
      </c>
      <c r="BR26" s="215" t="s">
        <v>542</v>
      </c>
      <c r="BS26" s="215" t="s">
        <v>542</v>
      </c>
      <c r="BT26" s="215" t="s">
        <v>542</v>
      </c>
      <c r="BU26" s="215" t="s">
        <v>542</v>
      </c>
      <c r="BV26" s="215" t="s">
        <v>588</v>
      </c>
      <c r="BW26" s="215" t="s">
        <v>541</v>
      </c>
      <c r="BX26" s="215" t="s">
        <v>542</v>
      </c>
      <c r="BY26" s="215" t="s">
        <v>542</v>
      </c>
      <c r="BZ26" s="215" t="s">
        <v>542</v>
      </c>
      <c r="CA26" s="215" t="s">
        <v>542</v>
      </c>
      <c r="CB26" s="215" t="s">
        <v>542</v>
      </c>
      <c r="CC26" s="215" t="s">
        <v>541</v>
      </c>
      <c r="CD26" s="215" t="s">
        <v>542</v>
      </c>
      <c r="CE26" s="215" t="s">
        <v>542</v>
      </c>
      <c r="CF26" s="215" t="s">
        <v>541</v>
      </c>
      <c r="CG26" s="215" t="s">
        <v>542</v>
      </c>
      <c r="CH26" s="215" t="s">
        <v>541</v>
      </c>
      <c r="CI26" s="215" t="s">
        <v>542</v>
      </c>
      <c r="CJ26" s="215" t="s">
        <v>542</v>
      </c>
      <c r="CK26" s="215" t="s">
        <v>541</v>
      </c>
      <c r="CL26" s="215" t="s">
        <v>542</v>
      </c>
      <c r="CM26" s="215" t="s">
        <v>542</v>
      </c>
      <c r="CN26" s="215" t="s">
        <v>542</v>
      </c>
      <c r="CO26" s="215" t="s">
        <v>542</v>
      </c>
      <c r="CP26" s="215" t="s">
        <v>542</v>
      </c>
      <c r="CQ26" s="215" t="s">
        <v>542</v>
      </c>
      <c r="CR26" s="215" t="s">
        <v>542</v>
      </c>
      <c r="CS26" s="215" t="s">
        <v>542</v>
      </c>
      <c r="CT26" s="215" t="s">
        <v>542</v>
      </c>
      <c r="CU26" s="215" t="s">
        <v>542</v>
      </c>
      <c r="CV26" s="215" t="s">
        <v>542</v>
      </c>
      <c r="CW26" s="215" t="s">
        <v>542</v>
      </c>
      <c r="CX26" s="215" t="s">
        <v>542</v>
      </c>
      <c r="CY26" s="215" t="s">
        <v>542</v>
      </c>
      <c r="CZ26" s="215" t="s">
        <v>542</v>
      </c>
      <c r="DA26" s="215" t="s">
        <v>542</v>
      </c>
      <c r="DB26" s="215" t="s">
        <v>542</v>
      </c>
      <c r="DC26" s="215" t="s">
        <v>542</v>
      </c>
      <c r="DD26" s="215" t="s">
        <v>542</v>
      </c>
      <c r="DE26" s="215" t="s">
        <v>542</v>
      </c>
      <c r="DF26" s="215" t="s">
        <v>542</v>
      </c>
      <c r="DG26" s="215" t="s">
        <v>542</v>
      </c>
      <c r="DH26" s="215" t="s">
        <v>542</v>
      </c>
      <c r="DI26" s="215" t="s">
        <v>542</v>
      </c>
      <c r="DJ26" s="215" t="s">
        <v>542</v>
      </c>
      <c r="DK26" s="215" t="s">
        <v>542</v>
      </c>
      <c r="DL26" s="215" t="s">
        <v>588</v>
      </c>
      <c r="DM26" s="215" t="s">
        <v>542</v>
      </c>
      <c r="DN26" s="215" t="s">
        <v>542</v>
      </c>
      <c r="DO26" s="215" t="s">
        <v>542</v>
      </c>
      <c r="DP26" s="215" t="s">
        <v>542</v>
      </c>
      <c r="DQ26" s="215" t="s">
        <v>542</v>
      </c>
      <c r="DR26" s="215" t="s">
        <v>542</v>
      </c>
      <c r="DS26" s="215" t="s">
        <v>588</v>
      </c>
      <c r="DT26" s="215" t="s">
        <v>542</v>
      </c>
      <c r="DU26" s="215" t="s">
        <v>542</v>
      </c>
      <c r="DV26" s="215" t="s">
        <v>542</v>
      </c>
      <c r="DW26" s="215" t="s">
        <v>542</v>
      </c>
      <c r="DX26" s="215" t="s">
        <v>542</v>
      </c>
      <c r="DY26" s="215" t="s">
        <v>588</v>
      </c>
      <c r="DZ26" s="215" t="s">
        <v>542</v>
      </c>
      <c r="EA26" s="215" t="s">
        <v>542</v>
      </c>
      <c r="EB26" s="215" t="s">
        <v>542</v>
      </c>
      <c r="EC26" s="215" t="s">
        <v>542</v>
      </c>
      <c r="ED26" s="215" t="s">
        <v>542</v>
      </c>
      <c r="EE26" s="215" t="s">
        <v>588</v>
      </c>
      <c r="EF26" s="215" t="s">
        <v>542</v>
      </c>
      <c r="EG26" s="215" t="s">
        <v>542</v>
      </c>
      <c r="EH26" s="215" t="s">
        <v>542</v>
      </c>
      <c r="EI26" s="215" t="s">
        <v>542</v>
      </c>
      <c r="EJ26" s="215" t="s">
        <v>542</v>
      </c>
      <c r="EK26" s="215" t="s">
        <v>588</v>
      </c>
      <c r="EL26" s="215" t="s">
        <v>542</v>
      </c>
      <c r="EM26" s="215" t="s">
        <v>542</v>
      </c>
      <c r="EN26" s="215" t="s">
        <v>542</v>
      </c>
      <c r="EO26" s="215" t="s">
        <v>542</v>
      </c>
      <c r="EP26" s="215" t="s">
        <v>542</v>
      </c>
      <c r="EQ26" s="215" t="s">
        <v>588</v>
      </c>
      <c r="ER26" s="215" t="s">
        <v>542</v>
      </c>
      <c r="ES26" s="215" t="s">
        <v>588</v>
      </c>
      <c r="ET26" s="215" t="s">
        <v>542</v>
      </c>
      <c r="EU26" s="215" t="s">
        <v>542</v>
      </c>
      <c r="EV26" s="215" t="s">
        <v>542</v>
      </c>
      <c r="EW26" s="215" t="s">
        <v>542</v>
      </c>
      <c r="EX26" s="215" t="s">
        <v>542</v>
      </c>
      <c r="EY26" s="215" t="s">
        <v>542</v>
      </c>
      <c r="EZ26" s="215" t="s">
        <v>588</v>
      </c>
      <c r="FA26" s="215" t="s">
        <v>542</v>
      </c>
      <c r="FB26" s="215" t="s">
        <v>542</v>
      </c>
      <c r="FC26" s="215" t="s">
        <v>542</v>
      </c>
      <c r="FD26" s="215" t="s">
        <v>542</v>
      </c>
      <c r="FE26" s="215" t="s">
        <v>542</v>
      </c>
      <c r="FF26" s="215" t="s">
        <v>588</v>
      </c>
      <c r="FG26" s="215" t="s">
        <v>542</v>
      </c>
      <c r="FH26" s="215" t="s">
        <v>542</v>
      </c>
      <c r="FI26" s="215" t="s">
        <v>542</v>
      </c>
      <c r="FJ26" s="215" t="s">
        <v>542</v>
      </c>
      <c r="FK26" s="215" t="s">
        <v>542</v>
      </c>
      <c r="FL26" s="215" t="s">
        <v>588</v>
      </c>
      <c r="FM26" s="215" t="s">
        <v>542</v>
      </c>
      <c r="FN26" s="215" t="s">
        <v>542</v>
      </c>
      <c r="FO26" s="215" t="s">
        <v>542</v>
      </c>
      <c r="FP26" s="215" t="s">
        <v>542</v>
      </c>
      <c r="FQ26" s="215" t="s">
        <v>542</v>
      </c>
      <c r="FR26" s="215" t="s">
        <v>588</v>
      </c>
      <c r="FS26" s="215" t="s">
        <v>542</v>
      </c>
      <c r="FT26" s="215" t="s">
        <v>542</v>
      </c>
      <c r="FU26" s="215" t="s">
        <v>542</v>
      </c>
      <c r="FV26" s="215" t="s">
        <v>542</v>
      </c>
      <c r="FW26" s="215" t="s">
        <v>542</v>
      </c>
      <c r="FX26" s="215" t="s">
        <v>588</v>
      </c>
      <c r="FY26" s="215" t="s">
        <v>542</v>
      </c>
      <c r="FZ26" s="215" t="s">
        <v>588</v>
      </c>
      <c r="GA26" s="215" t="s">
        <v>542</v>
      </c>
      <c r="GB26" s="215" t="s">
        <v>542</v>
      </c>
      <c r="GC26" s="215" t="s">
        <v>542</v>
      </c>
      <c r="GD26" s="215" t="s">
        <v>542</v>
      </c>
      <c r="GE26" s="215" t="s">
        <v>542</v>
      </c>
      <c r="GF26" s="215" t="s">
        <v>542</v>
      </c>
      <c r="GG26" s="215" t="s">
        <v>542</v>
      </c>
      <c r="GH26" s="215" t="s">
        <v>588</v>
      </c>
      <c r="GI26" s="215" t="s">
        <v>542</v>
      </c>
      <c r="GJ26" s="215" t="s">
        <v>588</v>
      </c>
    </row>
    <row r="27" spans="1:192" x14ac:dyDescent="0.2">
      <c r="A27" s="215" t="s">
        <v>577</v>
      </c>
      <c r="B27" s="215">
        <v>2024</v>
      </c>
      <c r="C27" s="215" t="s">
        <v>541</v>
      </c>
      <c r="D27" s="215" t="s">
        <v>541</v>
      </c>
      <c r="E27" s="215" t="s">
        <v>541</v>
      </c>
      <c r="F27" s="215" t="s">
        <v>541</v>
      </c>
      <c r="G27" s="215" t="s">
        <v>542</v>
      </c>
      <c r="H27" s="215" t="s">
        <v>542</v>
      </c>
      <c r="I27" s="215" t="s">
        <v>588</v>
      </c>
      <c r="J27" s="215" t="s">
        <v>542</v>
      </c>
      <c r="K27" s="215" t="s">
        <v>542</v>
      </c>
      <c r="L27" s="215" t="s">
        <v>542</v>
      </c>
      <c r="M27" s="215" t="s">
        <v>541</v>
      </c>
      <c r="N27" s="215" t="s">
        <v>542</v>
      </c>
      <c r="O27" s="215" t="s">
        <v>542</v>
      </c>
      <c r="P27" s="215" t="s">
        <v>542</v>
      </c>
      <c r="Q27" s="215" t="s">
        <v>542</v>
      </c>
      <c r="R27" s="215" t="s">
        <v>542</v>
      </c>
      <c r="S27" s="215" t="s">
        <v>588</v>
      </c>
      <c r="T27" s="215" t="s">
        <v>542</v>
      </c>
      <c r="U27" s="215" t="s">
        <v>588</v>
      </c>
      <c r="V27" s="215" t="s">
        <v>541</v>
      </c>
      <c r="W27" s="215" t="s">
        <v>541</v>
      </c>
      <c r="X27" s="215" t="s">
        <v>542</v>
      </c>
      <c r="Y27" s="215" t="s">
        <v>542</v>
      </c>
      <c r="Z27" s="215" t="s">
        <v>542</v>
      </c>
      <c r="AA27" s="215" t="s">
        <v>542</v>
      </c>
      <c r="AB27" s="215" t="s">
        <v>542</v>
      </c>
      <c r="AC27" s="215" t="s">
        <v>542</v>
      </c>
      <c r="AD27" s="215" t="s">
        <v>542</v>
      </c>
      <c r="AE27" s="215" t="s">
        <v>542</v>
      </c>
      <c r="AF27" s="215" t="s">
        <v>541</v>
      </c>
      <c r="AG27" s="215" t="s">
        <v>603</v>
      </c>
      <c r="AH27" s="215" t="s">
        <v>542</v>
      </c>
      <c r="AI27" s="215" t="s">
        <v>542</v>
      </c>
      <c r="AJ27" s="215" t="s">
        <v>588</v>
      </c>
      <c r="AK27" s="215" t="s">
        <v>542</v>
      </c>
      <c r="AL27" s="215" t="s">
        <v>588</v>
      </c>
      <c r="AM27" s="215" t="s">
        <v>542</v>
      </c>
      <c r="AN27" s="215" t="s">
        <v>588</v>
      </c>
      <c r="AO27" s="215" t="s">
        <v>541</v>
      </c>
      <c r="AP27" s="215" t="s">
        <v>542</v>
      </c>
      <c r="AQ27" s="215" t="s">
        <v>542</v>
      </c>
      <c r="AR27" s="215" t="s">
        <v>542</v>
      </c>
      <c r="AS27" s="215" t="s">
        <v>541</v>
      </c>
      <c r="AT27" s="215" t="s">
        <v>541</v>
      </c>
      <c r="AU27" s="215" t="s">
        <v>542</v>
      </c>
      <c r="AV27" s="215" t="s">
        <v>542</v>
      </c>
      <c r="AW27" s="215" t="s">
        <v>588</v>
      </c>
      <c r="AX27" s="215" t="s">
        <v>542</v>
      </c>
      <c r="AY27" s="215" t="s">
        <v>588</v>
      </c>
      <c r="AZ27" s="215" t="s">
        <v>542</v>
      </c>
      <c r="BA27" s="215" t="s">
        <v>542</v>
      </c>
      <c r="BB27" s="215" t="s">
        <v>542</v>
      </c>
      <c r="BC27" s="215" t="s">
        <v>542</v>
      </c>
      <c r="BD27" s="215" t="s">
        <v>588</v>
      </c>
      <c r="BE27" s="215" t="s">
        <v>542</v>
      </c>
      <c r="BF27" s="215" t="s">
        <v>542</v>
      </c>
      <c r="BG27" s="215" t="s">
        <v>588</v>
      </c>
      <c r="BH27" s="215" t="s">
        <v>542</v>
      </c>
      <c r="BI27" s="215" t="s">
        <v>542</v>
      </c>
      <c r="BJ27" s="215" t="s">
        <v>542</v>
      </c>
      <c r="BK27" s="215" t="s">
        <v>542</v>
      </c>
      <c r="BL27" s="215" t="s">
        <v>588</v>
      </c>
      <c r="BM27" s="215" t="s">
        <v>542</v>
      </c>
      <c r="BN27" s="215" t="s">
        <v>588</v>
      </c>
      <c r="BO27" s="215" t="s">
        <v>542</v>
      </c>
      <c r="BP27" s="215" t="s">
        <v>542</v>
      </c>
      <c r="BQ27" s="215" t="s">
        <v>542</v>
      </c>
      <c r="BR27" s="215" t="s">
        <v>542</v>
      </c>
      <c r="BS27" s="215" t="s">
        <v>542</v>
      </c>
      <c r="BT27" s="215" t="s">
        <v>542</v>
      </c>
      <c r="BU27" s="215" t="s">
        <v>542</v>
      </c>
      <c r="BV27" s="215" t="s">
        <v>588</v>
      </c>
      <c r="BW27" s="215" t="s">
        <v>542</v>
      </c>
      <c r="BX27" s="215" t="s">
        <v>542</v>
      </c>
      <c r="BY27" s="215" t="s">
        <v>542</v>
      </c>
      <c r="BZ27" s="215" t="s">
        <v>542</v>
      </c>
      <c r="CA27" s="215" t="s">
        <v>542</v>
      </c>
      <c r="CB27" s="215" t="s">
        <v>542</v>
      </c>
      <c r="CC27" s="215" t="s">
        <v>542</v>
      </c>
      <c r="CD27" s="215" t="s">
        <v>542</v>
      </c>
      <c r="CE27" s="215" t="s">
        <v>542</v>
      </c>
      <c r="CF27" s="215" t="s">
        <v>542</v>
      </c>
      <c r="CG27" s="215" t="s">
        <v>542</v>
      </c>
      <c r="CH27" s="215" t="s">
        <v>542</v>
      </c>
      <c r="CI27" s="215" t="s">
        <v>542</v>
      </c>
      <c r="CJ27" s="215" t="s">
        <v>542</v>
      </c>
      <c r="CK27" s="215" t="s">
        <v>542</v>
      </c>
      <c r="CL27" s="215" t="s">
        <v>542</v>
      </c>
      <c r="CM27" s="215" t="s">
        <v>542</v>
      </c>
      <c r="CN27" s="215" t="s">
        <v>541</v>
      </c>
      <c r="CO27" s="215" t="s">
        <v>542</v>
      </c>
      <c r="CP27" s="215" t="s">
        <v>542</v>
      </c>
      <c r="CQ27" s="215" t="s">
        <v>542</v>
      </c>
      <c r="CR27" s="215" t="s">
        <v>542</v>
      </c>
      <c r="CS27" s="215" t="s">
        <v>542</v>
      </c>
      <c r="CT27" s="215" t="s">
        <v>542</v>
      </c>
      <c r="CU27" s="215" t="s">
        <v>542</v>
      </c>
      <c r="CV27" s="215" t="s">
        <v>542</v>
      </c>
      <c r="CW27" s="215" t="s">
        <v>542</v>
      </c>
      <c r="CX27" s="215" t="s">
        <v>542</v>
      </c>
      <c r="CY27" s="215" t="s">
        <v>542</v>
      </c>
      <c r="CZ27" s="215" t="s">
        <v>542</v>
      </c>
      <c r="DA27" s="215" t="s">
        <v>542</v>
      </c>
      <c r="DB27" s="215" t="s">
        <v>542</v>
      </c>
      <c r="DC27" s="215" t="s">
        <v>542</v>
      </c>
      <c r="DD27" s="215" t="s">
        <v>542</v>
      </c>
      <c r="DE27" s="215" t="s">
        <v>542</v>
      </c>
      <c r="DF27" s="215" t="s">
        <v>541</v>
      </c>
      <c r="DG27" s="215" t="s">
        <v>542</v>
      </c>
      <c r="DH27" s="215" t="s">
        <v>542</v>
      </c>
      <c r="DI27" s="215" t="s">
        <v>542</v>
      </c>
      <c r="DJ27" s="215" t="s">
        <v>541</v>
      </c>
      <c r="DK27" s="215" t="s">
        <v>542</v>
      </c>
      <c r="DL27" s="215" t="s">
        <v>588</v>
      </c>
      <c r="DM27" s="215" t="s">
        <v>542</v>
      </c>
      <c r="DN27" s="215" t="s">
        <v>542</v>
      </c>
      <c r="DO27" s="215" t="s">
        <v>542</v>
      </c>
      <c r="DP27" s="215" t="s">
        <v>542</v>
      </c>
      <c r="DQ27" s="215" t="s">
        <v>542</v>
      </c>
      <c r="DR27" s="215" t="s">
        <v>542</v>
      </c>
      <c r="DS27" s="215" t="s">
        <v>588</v>
      </c>
      <c r="DT27" s="215" t="s">
        <v>542</v>
      </c>
      <c r="DU27" s="215" t="s">
        <v>542</v>
      </c>
      <c r="DV27" s="215" t="s">
        <v>542</v>
      </c>
      <c r="DW27" s="215" t="s">
        <v>542</v>
      </c>
      <c r="DX27" s="215" t="s">
        <v>542</v>
      </c>
      <c r="DY27" s="215" t="s">
        <v>588</v>
      </c>
      <c r="DZ27" s="215" t="s">
        <v>542</v>
      </c>
      <c r="EA27" s="215" t="s">
        <v>542</v>
      </c>
      <c r="EB27" s="215" t="s">
        <v>542</v>
      </c>
      <c r="EC27" s="215" t="s">
        <v>542</v>
      </c>
      <c r="ED27" s="215" t="s">
        <v>542</v>
      </c>
      <c r="EE27" s="215" t="s">
        <v>588</v>
      </c>
      <c r="EF27" s="215" t="s">
        <v>542</v>
      </c>
      <c r="EG27" s="215" t="s">
        <v>542</v>
      </c>
      <c r="EH27" s="215" t="s">
        <v>542</v>
      </c>
      <c r="EI27" s="215" t="s">
        <v>542</v>
      </c>
      <c r="EJ27" s="215" t="s">
        <v>542</v>
      </c>
      <c r="EK27" s="215" t="s">
        <v>588</v>
      </c>
      <c r="EL27" s="215" t="s">
        <v>542</v>
      </c>
      <c r="EM27" s="215" t="s">
        <v>542</v>
      </c>
      <c r="EN27" s="215" t="s">
        <v>542</v>
      </c>
      <c r="EO27" s="215" t="s">
        <v>542</v>
      </c>
      <c r="EP27" s="215" t="s">
        <v>542</v>
      </c>
      <c r="EQ27" s="215" t="s">
        <v>588</v>
      </c>
      <c r="ER27" s="215" t="s">
        <v>542</v>
      </c>
      <c r="ES27" s="215" t="s">
        <v>588</v>
      </c>
      <c r="ET27" s="215" t="s">
        <v>542</v>
      </c>
      <c r="EU27" s="215" t="s">
        <v>542</v>
      </c>
      <c r="EV27" s="215" t="s">
        <v>542</v>
      </c>
      <c r="EW27" s="215" t="s">
        <v>542</v>
      </c>
      <c r="EX27" s="215" t="s">
        <v>542</v>
      </c>
      <c r="EY27" s="215" t="s">
        <v>542</v>
      </c>
      <c r="EZ27" s="215" t="s">
        <v>588</v>
      </c>
      <c r="FA27" s="215" t="s">
        <v>542</v>
      </c>
      <c r="FB27" s="215" t="s">
        <v>542</v>
      </c>
      <c r="FC27" s="215" t="s">
        <v>542</v>
      </c>
      <c r="FD27" s="215" t="s">
        <v>542</v>
      </c>
      <c r="FE27" s="215" t="s">
        <v>542</v>
      </c>
      <c r="FF27" s="215" t="s">
        <v>588</v>
      </c>
      <c r="FG27" s="215" t="s">
        <v>542</v>
      </c>
      <c r="FH27" s="215" t="s">
        <v>542</v>
      </c>
      <c r="FI27" s="215" t="s">
        <v>542</v>
      </c>
      <c r="FJ27" s="215" t="s">
        <v>542</v>
      </c>
      <c r="FK27" s="215" t="s">
        <v>542</v>
      </c>
      <c r="FL27" s="215" t="s">
        <v>588</v>
      </c>
      <c r="FM27" s="215" t="s">
        <v>542</v>
      </c>
      <c r="FN27" s="215" t="s">
        <v>542</v>
      </c>
      <c r="FO27" s="215" t="s">
        <v>542</v>
      </c>
      <c r="FP27" s="215" t="s">
        <v>542</v>
      </c>
      <c r="FQ27" s="215" t="s">
        <v>542</v>
      </c>
      <c r="FR27" s="215" t="s">
        <v>588</v>
      </c>
      <c r="FS27" s="215" t="s">
        <v>542</v>
      </c>
      <c r="FT27" s="215" t="s">
        <v>542</v>
      </c>
      <c r="FU27" s="215" t="s">
        <v>542</v>
      </c>
      <c r="FV27" s="215" t="s">
        <v>542</v>
      </c>
      <c r="FW27" s="215" t="s">
        <v>542</v>
      </c>
      <c r="FX27" s="215" t="s">
        <v>588</v>
      </c>
      <c r="FY27" s="215" t="s">
        <v>542</v>
      </c>
      <c r="FZ27" s="215" t="s">
        <v>588</v>
      </c>
      <c r="GA27" s="215" t="s">
        <v>542</v>
      </c>
      <c r="GB27" s="215" t="s">
        <v>542</v>
      </c>
      <c r="GC27" s="215" t="s">
        <v>542</v>
      </c>
      <c r="GD27" s="215" t="s">
        <v>542</v>
      </c>
      <c r="GE27" s="215" t="s">
        <v>542</v>
      </c>
      <c r="GF27" s="215" t="s">
        <v>542</v>
      </c>
      <c r="GG27" s="215" t="s">
        <v>542</v>
      </c>
      <c r="GH27" s="215" t="s">
        <v>588</v>
      </c>
      <c r="GI27" s="215" t="s">
        <v>542</v>
      </c>
      <c r="GJ27" s="215" t="s">
        <v>588</v>
      </c>
    </row>
    <row r="28" spans="1:192" x14ac:dyDescent="0.2">
      <c r="A28" s="215" t="s">
        <v>579</v>
      </c>
      <c r="B28" s="215">
        <v>2025</v>
      </c>
      <c r="C28" s="215" t="s">
        <v>541</v>
      </c>
      <c r="D28" s="215" t="s">
        <v>541</v>
      </c>
      <c r="E28" s="215" t="s">
        <v>541</v>
      </c>
      <c r="F28" s="215" t="s">
        <v>541</v>
      </c>
      <c r="G28" s="215" t="s">
        <v>542</v>
      </c>
      <c r="H28" s="215" t="s">
        <v>541</v>
      </c>
      <c r="I28" s="215" t="s">
        <v>580</v>
      </c>
      <c r="J28" s="215" t="s">
        <v>542</v>
      </c>
      <c r="K28" s="215" t="s">
        <v>542</v>
      </c>
      <c r="L28" s="215" t="s">
        <v>542</v>
      </c>
      <c r="M28" s="215" t="s">
        <v>542</v>
      </c>
      <c r="N28" s="215" t="s">
        <v>542</v>
      </c>
      <c r="O28" s="215" t="s">
        <v>542</v>
      </c>
      <c r="P28" s="215" t="s">
        <v>542</v>
      </c>
      <c r="Q28" s="215" t="s">
        <v>542</v>
      </c>
      <c r="R28" s="215" t="s">
        <v>542</v>
      </c>
      <c r="S28" s="215" t="s">
        <v>588</v>
      </c>
      <c r="T28" s="215" t="s">
        <v>542</v>
      </c>
      <c r="U28" s="215" t="s">
        <v>588</v>
      </c>
      <c r="V28" s="215" t="s">
        <v>542</v>
      </c>
      <c r="W28" s="215" t="s">
        <v>542</v>
      </c>
      <c r="X28" s="215" t="s">
        <v>542</v>
      </c>
      <c r="Y28" s="215" t="s">
        <v>542</v>
      </c>
      <c r="Z28" s="215" t="s">
        <v>542</v>
      </c>
      <c r="AA28" s="215" t="s">
        <v>542</v>
      </c>
      <c r="AB28" s="215" t="s">
        <v>542</v>
      </c>
      <c r="AC28" s="215" t="s">
        <v>542</v>
      </c>
      <c r="AD28" s="215" t="s">
        <v>542</v>
      </c>
      <c r="AE28" s="215" t="s">
        <v>542</v>
      </c>
      <c r="AF28" s="215" t="s">
        <v>542</v>
      </c>
      <c r="AG28" s="215" t="s">
        <v>588</v>
      </c>
      <c r="AH28" s="215" t="s">
        <v>542</v>
      </c>
      <c r="AI28" s="215" t="s">
        <v>542</v>
      </c>
      <c r="AJ28" s="215" t="s">
        <v>588</v>
      </c>
      <c r="AK28" s="215" t="s">
        <v>542</v>
      </c>
      <c r="AL28" s="215" t="s">
        <v>588</v>
      </c>
      <c r="AM28" s="215" t="s">
        <v>542</v>
      </c>
      <c r="AN28" s="215" t="s">
        <v>588</v>
      </c>
      <c r="AO28" s="215" t="s">
        <v>542</v>
      </c>
      <c r="AP28" s="215" t="s">
        <v>542</v>
      </c>
      <c r="AQ28" s="215" t="s">
        <v>542</v>
      </c>
      <c r="AR28" s="215" t="s">
        <v>542</v>
      </c>
      <c r="AS28" s="215" t="s">
        <v>542</v>
      </c>
      <c r="AT28" s="215" t="s">
        <v>542</v>
      </c>
      <c r="AU28" s="215" t="s">
        <v>542</v>
      </c>
      <c r="AV28" s="215" t="s">
        <v>542</v>
      </c>
      <c r="AW28" s="215" t="s">
        <v>588</v>
      </c>
      <c r="AX28" s="215" t="s">
        <v>542</v>
      </c>
      <c r="AY28" s="215" t="s">
        <v>588</v>
      </c>
      <c r="AZ28" s="215" t="s">
        <v>542</v>
      </c>
      <c r="BA28" s="215" t="s">
        <v>542</v>
      </c>
      <c r="BB28" s="215" t="s">
        <v>542</v>
      </c>
      <c r="BC28" s="215" t="s">
        <v>542</v>
      </c>
      <c r="BD28" s="215" t="s">
        <v>588</v>
      </c>
      <c r="BE28" s="215" t="s">
        <v>542</v>
      </c>
      <c r="BF28" s="215" t="s">
        <v>542</v>
      </c>
      <c r="BG28" s="215" t="s">
        <v>588</v>
      </c>
      <c r="BH28" s="215" t="s">
        <v>542</v>
      </c>
      <c r="BI28" s="215" t="s">
        <v>542</v>
      </c>
      <c r="BJ28" s="215" t="s">
        <v>542</v>
      </c>
      <c r="BK28" s="215" t="s">
        <v>542</v>
      </c>
      <c r="BL28" s="215" t="s">
        <v>588</v>
      </c>
      <c r="BM28" s="215" t="s">
        <v>542</v>
      </c>
      <c r="BN28" s="215" t="s">
        <v>588</v>
      </c>
      <c r="BO28" s="215" t="s">
        <v>542</v>
      </c>
      <c r="BP28" s="215" t="s">
        <v>542</v>
      </c>
      <c r="BQ28" s="215" t="s">
        <v>542</v>
      </c>
      <c r="BR28" s="215" t="s">
        <v>542</v>
      </c>
      <c r="BS28" s="215" t="s">
        <v>542</v>
      </c>
      <c r="BT28" s="215" t="s">
        <v>542</v>
      </c>
      <c r="BU28" s="215" t="s">
        <v>542</v>
      </c>
      <c r="BV28" s="215" t="s">
        <v>588</v>
      </c>
      <c r="BW28" s="215" t="s">
        <v>541</v>
      </c>
      <c r="BX28" s="215" t="s">
        <v>542</v>
      </c>
      <c r="BY28" s="215" t="s">
        <v>542</v>
      </c>
      <c r="BZ28" s="215" t="s">
        <v>542</v>
      </c>
      <c r="CA28" s="215" t="s">
        <v>542</v>
      </c>
      <c r="CB28" s="215" t="s">
        <v>542</v>
      </c>
      <c r="CC28" s="215" t="s">
        <v>541</v>
      </c>
      <c r="CD28" s="215" t="s">
        <v>542</v>
      </c>
      <c r="CE28" s="215" t="s">
        <v>542</v>
      </c>
      <c r="CF28" s="215" t="s">
        <v>541</v>
      </c>
      <c r="CG28" s="215" t="s">
        <v>542</v>
      </c>
      <c r="CH28" s="215" t="s">
        <v>542</v>
      </c>
      <c r="CI28" s="215" t="s">
        <v>542</v>
      </c>
      <c r="CJ28" s="215" t="s">
        <v>542</v>
      </c>
      <c r="CK28" s="215" t="s">
        <v>542</v>
      </c>
      <c r="CL28" s="215" t="s">
        <v>542</v>
      </c>
      <c r="CM28" s="215" t="s">
        <v>542</v>
      </c>
      <c r="CN28" s="215" t="s">
        <v>541</v>
      </c>
      <c r="CO28" s="215" t="s">
        <v>541</v>
      </c>
      <c r="CP28" s="215" t="s">
        <v>541</v>
      </c>
      <c r="CQ28" s="215" t="s">
        <v>542</v>
      </c>
      <c r="CR28" s="215" t="s">
        <v>542</v>
      </c>
      <c r="CS28" s="215" t="s">
        <v>542</v>
      </c>
      <c r="CT28" s="215" t="s">
        <v>541</v>
      </c>
      <c r="CU28" s="215" t="s">
        <v>542</v>
      </c>
      <c r="CV28" s="215" t="s">
        <v>542</v>
      </c>
      <c r="CW28" s="215" t="s">
        <v>541</v>
      </c>
      <c r="CX28" s="215" t="s">
        <v>542</v>
      </c>
      <c r="CY28" s="215" t="s">
        <v>542</v>
      </c>
      <c r="CZ28" s="215" t="s">
        <v>542</v>
      </c>
      <c r="DA28" s="215" t="s">
        <v>542</v>
      </c>
      <c r="DB28" s="215" t="s">
        <v>542</v>
      </c>
      <c r="DC28" s="215" t="s">
        <v>542</v>
      </c>
      <c r="DD28" s="215" t="s">
        <v>542</v>
      </c>
      <c r="DE28" s="215" t="s">
        <v>542</v>
      </c>
      <c r="DF28" s="215" t="s">
        <v>542</v>
      </c>
      <c r="DG28" s="215" t="s">
        <v>542</v>
      </c>
      <c r="DH28" s="215" t="s">
        <v>542</v>
      </c>
      <c r="DI28" s="215" t="s">
        <v>542</v>
      </c>
      <c r="DJ28" s="215" t="s">
        <v>542</v>
      </c>
      <c r="DK28" s="215" t="s">
        <v>542</v>
      </c>
      <c r="DL28" s="215" t="s">
        <v>588</v>
      </c>
      <c r="DM28" s="215" t="s">
        <v>542</v>
      </c>
      <c r="DN28" s="215" t="s">
        <v>542</v>
      </c>
      <c r="DO28" s="215" t="s">
        <v>542</v>
      </c>
      <c r="DP28" s="215" t="s">
        <v>542</v>
      </c>
      <c r="DQ28" s="215" t="s">
        <v>542</v>
      </c>
      <c r="DR28" s="215" t="s">
        <v>542</v>
      </c>
      <c r="DS28" s="215" t="s">
        <v>588</v>
      </c>
      <c r="DT28" s="215" t="s">
        <v>542</v>
      </c>
      <c r="DU28" s="215" t="s">
        <v>542</v>
      </c>
      <c r="DV28" s="215" t="s">
        <v>542</v>
      </c>
      <c r="DW28" s="215" t="s">
        <v>542</v>
      </c>
      <c r="DX28" s="215" t="s">
        <v>542</v>
      </c>
      <c r="DY28" s="215" t="s">
        <v>588</v>
      </c>
      <c r="DZ28" s="215" t="s">
        <v>542</v>
      </c>
      <c r="EA28" s="215" t="s">
        <v>542</v>
      </c>
      <c r="EB28" s="215" t="s">
        <v>542</v>
      </c>
      <c r="EC28" s="215" t="s">
        <v>542</v>
      </c>
      <c r="ED28" s="215" t="s">
        <v>542</v>
      </c>
      <c r="EE28" s="215" t="s">
        <v>588</v>
      </c>
      <c r="EF28" s="215" t="s">
        <v>542</v>
      </c>
      <c r="EG28" s="215" t="s">
        <v>542</v>
      </c>
      <c r="EH28" s="215" t="s">
        <v>542</v>
      </c>
      <c r="EI28" s="215" t="s">
        <v>542</v>
      </c>
      <c r="EJ28" s="215" t="s">
        <v>542</v>
      </c>
      <c r="EK28" s="215" t="s">
        <v>588</v>
      </c>
      <c r="EL28" s="215" t="s">
        <v>542</v>
      </c>
      <c r="EM28" s="215" t="s">
        <v>542</v>
      </c>
      <c r="EN28" s="215" t="s">
        <v>542</v>
      </c>
      <c r="EO28" s="215" t="s">
        <v>542</v>
      </c>
      <c r="EP28" s="215" t="s">
        <v>542</v>
      </c>
      <c r="EQ28" s="215" t="s">
        <v>588</v>
      </c>
      <c r="ER28" s="215" t="s">
        <v>542</v>
      </c>
      <c r="ES28" s="215" t="s">
        <v>588</v>
      </c>
      <c r="ET28" s="215" t="s">
        <v>542</v>
      </c>
      <c r="EU28" s="215" t="s">
        <v>542</v>
      </c>
      <c r="EV28" s="215" t="s">
        <v>542</v>
      </c>
      <c r="EW28" s="215" t="s">
        <v>542</v>
      </c>
      <c r="EX28" s="215" t="s">
        <v>542</v>
      </c>
      <c r="EY28" s="215" t="s">
        <v>542</v>
      </c>
      <c r="EZ28" s="215" t="s">
        <v>588</v>
      </c>
      <c r="FA28" s="215" t="s">
        <v>542</v>
      </c>
      <c r="FB28" s="215" t="s">
        <v>542</v>
      </c>
      <c r="FC28" s="215" t="s">
        <v>542</v>
      </c>
      <c r="FD28" s="215" t="s">
        <v>542</v>
      </c>
      <c r="FE28" s="215" t="s">
        <v>542</v>
      </c>
      <c r="FF28" s="215" t="s">
        <v>588</v>
      </c>
      <c r="FG28" s="215" t="s">
        <v>542</v>
      </c>
      <c r="FH28" s="215" t="s">
        <v>542</v>
      </c>
      <c r="FI28" s="215" t="s">
        <v>542</v>
      </c>
      <c r="FJ28" s="215" t="s">
        <v>542</v>
      </c>
      <c r="FK28" s="215" t="s">
        <v>542</v>
      </c>
      <c r="FL28" s="215" t="s">
        <v>588</v>
      </c>
      <c r="FM28" s="215" t="s">
        <v>542</v>
      </c>
      <c r="FN28" s="215" t="s">
        <v>542</v>
      </c>
      <c r="FO28" s="215" t="s">
        <v>542</v>
      </c>
      <c r="FP28" s="215" t="s">
        <v>542</v>
      </c>
      <c r="FQ28" s="215" t="s">
        <v>542</v>
      </c>
      <c r="FR28" s="215" t="s">
        <v>588</v>
      </c>
      <c r="FS28" s="215" t="s">
        <v>542</v>
      </c>
      <c r="FT28" s="215" t="s">
        <v>542</v>
      </c>
      <c r="FU28" s="215" t="s">
        <v>542</v>
      </c>
      <c r="FV28" s="215" t="s">
        <v>542</v>
      </c>
      <c r="FW28" s="215" t="s">
        <v>542</v>
      </c>
      <c r="FX28" s="215" t="s">
        <v>588</v>
      </c>
      <c r="FY28" s="215" t="s">
        <v>542</v>
      </c>
      <c r="FZ28" s="215" t="s">
        <v>588</v>
      </c>
      <c r="GA28" s="215" t="s">
        <v>542</v>
      </c>
      <c r="GB28" s="215" t="s">
        <v>542</v>
      </c>
      <c r="GC28" s="215" t="s">
        <v>542</v>
      </c>
      <c r="GD28" s="215" t="s">
        <v>542</v>
      </c>
      <c r="GE28" s="215" t="s">
        <v>542</v>
      </c>
      <c r="GF28" s="215" t="s">
        <v>542</v>
      </c>
      <c r="GG28" s="215" t="s">
        <v>542</v>
      </c>
      <c r="GH28" s="215" t="s">
        <v>588</v>
      </c>
      <c r="GI28" s="215" t="s">
        <v>542</v>
      </c>
      <c r="GJ28" s="215" t="s">
        <v>588</v>
      </c>
    </row>
    <row r="29" spans="1:192" x14ac:dyDescent="0.2">
      <c r="A29" s="215" t="s">
        <v>581</v>
      </c>
      <c r="B29" s="215">
        <v>2025</v>
      </c>
      <c r="C29" s="215" t="s">
        <v>541</v>
      </c>
      <c r="D29" s="215" t="s">
        <v>541</v>
      </c>
      <c r="E29" s="215" t="s">
        <v>541</v>
      </c>
      <c r="F29" s="215" t="s">
        <v>541</v>
      </c>
      <c r="G29" s="215" t="s">
        <v>542</v>
      </c>
      <c r="H29" s="215" t="s">
        <v>541</v>
      </c>
      <c r="I29" s="215" t="s">
        <v>588</v>
      </c>
      <c r="J29" s="215" t="s">
        <v>542</v>
      </c>
      <c r="K29" s="215" t="s">
        <v>542</v>
      </c>
      <c r="L29" s="215" t="s">
        <v>542</v>
      </c>
      <c r="M29" s="215" t="s">
        <v>542</v>
      </c>
      <c r="N29" s="215" t="s">
        <v>542</v>
      </c>
      <c r="O29" s="215" t="s">
        <v>542</v>
      </c>
      <c r="P29" s="215" t="s">
        <v>542</v>
      </c>
      <c r="Q29" s="215" t="s">
        <v>542</v>
      </c>
      <c r="R29" s="215" t="s">
        <v>542</v>
      </c>
      <c r="S29" s="215" t="s">
        <v>588</v>
      </c>
      <c r="T29" s="215" t="s">
        <v>542</v>
      </c>
      <c r="U29" s="215" t="s">
        <v>588</v>
      </c>
      <c r="V29" s="215" t="s">
        <v>541</v>
      </c>
      <c r="W29" s="215" t="s">
        <v>541</v>
      </c>
      <c r="X29" s="215" t="s">
        <v>541</v>
      </c>
      <c r="Y29" s="215" t="s">
        <v>541</v>
      </c>
      <c r="Z29" s="215" t="s">
        <v>541</v>
      </c>
      <c r="AA29" s="215" t="s">
        <v>541</v>
      </c>
      <c r="AB29" s="215" t="s">
        <v>542</v>
      </c>
      <c r="AC29" s="215" t="s">
        <v>542</v>
      </c>
      <c r="AD29" s="215" t="s">
        <v>542</v>
      </c>
      <c r="AE29" s="215" t="s">
        <v>542</v>
      </c>
      <c r="AF29" s="215" t="s">
        <v>541</v>
      </c>
      <c r="AG29" s="215" t="s">
        <v>604</v>
      </c>
      <c r="AH29" s="215" t="s">
        <v>542</v>
      </c>
      <c r="AI29" s="215" t="s">
        <v>542</v>
      </c>
      <c r="AJ29" s="215" t="s">
        <v>588</v>
      </c>
      <c r="AK29" s="215" t="s">
        <v>542</v>
      </c>
      <c r="AL29" s="215" t="s">
        <v>588</v>
      </c>
      <c r="AM29" s="215" t="s">
        <v>541</v>
      </c>
      <c r="AN29" s="215" t="s">
        <v>605</v>
      </c>
      <c r="AO29" s="215" t="s">
        <v>542</v>
      </c>
      <c r="AP29" s="215" t="s">
        <v>542</v>
      </c>
      <c r="AQ29" s="215" t="s">
        <v>542</v>
      </c>
      <c r="AR29" s="215" t="s">
        <v>542</v>
      </c>
      <c r="AS29" s="215" t="s">
        <v>542</v>
      </c>
      <c r="AT29" s="215" t="s">
        <v>542</v>
      </c>
      <c r="AU29" s="215" t="s">
        <v>542</v>
      </c>
      <c r="AV29" s="215" t="s">
        <v>542</v>
      </c>
      <c r="AW29" s="215" t="s">
        <v>588</v>
      </c>
      <c r="AX29" s="215" t="s">
        <v>542</v>
      </c>
      <c r="AY29" s="215" t="s">
        <v>588</v>
      </c>
      <c r="AZ29" s="215" t="s">
        <v>542</v>
      </c>
      <c r="BA29" s="215" t="s">
        <v>542</v>
      </c>
      <c r="BB29" s="215" t="s">
        <v>542</v>
      </c>
      <c r="BC29" s="215" t="s">
        <v>542</v>
      </c>
      <c r="BD29" s="215" t="s">
        <v>588</v>
      </c>
      <c r="BE29" s="215" t="s">
        <v>542</v>
      </c>
      <c r="BF29" s="215" t="s">
        <v>542</v>
      </c>
      <c r="BG29" s="215" t="s">
        <v>588</v>
      </c>
      <c r="BH29" s="215" t="s">
        <v>542</v>
      </c>
      <c r="BI29" s="215" t="s">
        <v>542</v>
      </c>
      <c r="BJ29" s="215" t="s">
        <v>542</v>
      </c>
      <c r="BK29" s="215" t="s">
        <v>542</v>
      </c>
      <c r="BL29" s="215" t="s">
        <v>588</v>
      </c>
      <c r="BM29" s="215" t="s">
        <v>542</v>
      </c>
      <c r="BN29" s="215" t="s">
        <v>588</v>
      </c>
      <c r="BO29" s="215" t="s">
        <v>542</v>
      </c>
      <c r="BP29" s="215" t="s">
        <v>542</v>
      </c>
      <c r="BQ29" s="215" t="s">
        <v>542</v>
      </c>
      <c r="BR29" s="215" t="s">
        <v>542</v>
      </c>
      <c r="BS29" s="215" t="s">
        <v>542</v>
      </c>
      <c r="BT29" s="215" t="s">
        <v>542</v>
      </c>
      <c r="BU29" s="215" t="s">
        <v>542</v>
      </c>
      <c r="BV29" s="215" t="s">
        <v>588</v>
      </c>
      <c r="BW29" s="215" t="s">
        <v>541</v>
      </c>
      <c r="BX29" s="215" t="s">
        <v>542</v>
      </c>
      <c r="BY29" s="215" t="s">
        <v>542</v>
      </c>
      <c r="BZ29" s="215" t="s">
        <v>542</v>
      </c>
      <c r="CA29" s="215" t="s">
        <v>542</v>
      </c>
      <c r="CB29" s="215" t="s">
        <v>542</v>
      </c>
      <c r="CC29" s="215" t="s">
        <v>542</v>
      </c>
      <c r="CD29" s="215" t="s">
        <v>542</v>
      </c>
      <c r="CE29" s="215" t="s">
        <v>542</v>
      </c>
      <c r="CF29" s="215" t="s">
        <v>542</v>
      </c>
      <c r="CG29" s="215" t="s">
        <v>542</v>
      </c>
      <c r="CH29" s="215" t="s">
        <v>542</v>
      </c>
      <c r="CI29" s="215" t="s">
        <v>542</v>
      </c>
      <c r="CJ29" s="215" t="s">
        <v>542</v>
      </c>
      <c r="CK29" s="215" t="s">
        <v>542</v>
      </c>
      <c r="CL29" s="215" t="s">
        <v>542</v>
      </c>
      <c r="CM29" s="215" t="s">
        <v>542</v>
      </c>
      <c r="CN29" s="215" t="s">
        <v>542</v>
      </c>
      <c r="CO29" s="215" t="s">
        <v>542</v>
      </c>
      <c r="CP29" s="215" t="s">
        <v>542</v>
      </c>
      <c r="CQ29" s="215" t="s">
        <v>542</v>
      </c>
      <c r="CR29" s="215" t="s">
        <v>542</v>
      </c>
      <c r="CS29" s="215" t="s">
        <v>542</v>
      </c>
      <c r="CT29" s="215" t="s">
        <v>541</v>
      </c>
      <c r="CU29" s="215" t="s">
        <v>542</v>
      </c>
      <c r="CV29" s="215" t="s">
        <v>542</v>
      </c>
      <c r="CW29" s="215" t="s">
        <v>542</v>
      </c>
      <c r="CX29" s="215" t="s">
        <v>542</v>
      </c>
      <c r="CY29" s="215" t="s">
        <v>542</v>
      </c>
      <c r="CZ29" s="215" t="s">
        <v>542</v>
      </c>
      <c r="DA29" s="215" t="s">
        <v>542</v>
      </c>
      <c r="DB29" s="215" t="s">
        <v>542</v>
      </c>
      <c r="DC29" s="215" t="s">
        <v>542</v>
      </c>
      <c r="DD29" s="215" t="s">
        <v>542</v>
      </c>
      <c r="DE29" s="215" t="s">
        <v>542</v>
      </c>
      <c r="DF29" s="215" t="s">
        <v>542</v>
      </c>
      <c r="DG29" s="215" t="s">
        <v>542</v>
      </c>
      <c r="DH29" s="215" t="s">
        <v>542</v>
      </c>
      <c r="DI29" s="215" t="s">
        <v>542</v>
      </c>
      <c r="DJ29" s="215" t="s">
        <v>542</v>
      </c>
      <c r="DK29" s="215" t="s">
        <v>542</v>
      </c>
      <c r="DL29" s="215" t="s">
        <v>588</v>
      </c>
      <c r="DM29" s="215" t="s">
        <v>542</v>
      </c>
      <c r="DN29" s="215" t="s">
        <v>542</v>
      </c>
      <c r="DO29" s="215" t="s">
        <v>542</v>
      </c>
      <c r="DP29" s="215" t="s">
        <v>542</v>
      </c>
      <c r="DQ29" s="215" t="s">
        <v>542</v>
      </c>
      <c r="DR29" s="215" t="s">
        <v>542</v>
      </c>
      <c r="DS29" s="215" t="s">
        <v>588</v>
      </c>
      <c r="DT29" s="215" t="s">
        <v>542</v>
      </c>
      <c r="DU29" s="215" t="s">
        <v>542</v>
      </c>
      <c r="DV29" s="215" t="s">
        <v>542</v>
      </c>
      <c r="DW29" s="215" t="s">
        <v>542</v>
      </c>
      <c r="DX29" s="215" t="s">
        <v>542</v>
      </c>
      <c r="DY29" s="215" t="s">
        <v>588</v>
      </c>
      <c r="DZ29" s="215" t="s">
        <v>542</v>
      </c>
      <c r="EA29" s="215" t="s">
        <v>542</v>
      </c>
      <c r="EB29" s="215" t="s">
        <v>542</v>
      </c>
      <c r="EC29" s="215" t="s">
        <v>542</v>
      </c>
      <c r="ED29" s="215" t="s">
        <v>542</v>
      </c>
      <c r="EE29" s="215" t="s">
        <v>588</v>
      </c>
      <c r="EF29" s="215" t="s">
        <v>542</v>
      </c>
      <c r="EG29" s="215" t="s">
        <v>542</v>
      </c>
      <c r="EH29" s="215" t="s">
        <v>542</v>
      </c>
      <c r="EI29" s="215" t="s">
        <v>542</v>
      </c>
      <c r="EJ29" s="215" t="s">
        <v>542</v>
      </c>
      <c r="EK29" s="215" t="s">
        <v>588</v>
      </c>
      <c r="EL29" s="215" t="s">
        <v>542</v>
      </c>
      <c r="EM29" s="215" t="s">
        <v>542</v>
      </c>
      <c r="EN29" s="215" t="s">
        <v>542</v>
      </c>
      <c r="EO29" s="215" t="s">
        <v>542</v>
      </c>
      <c r="EP29" s="215" t="s">
        <v>542</v>
      </c>
      <c r="EQ29" s="215" t="s">
        <v>588</v>
      </c>
      <c r="ER29" s="215" t="s">
        <v>542</v>
      </c>
      <c r="ES29" s="215" t="s">
        <v>588</v>
      </c>
      <c r="ET29" s="215" t="s">
        <v>542</v>
      </c>
      <c r="EU29" s="215" t="s">
        <v>542</v>
      </c>
      <c r="EV29" s="215" t="s">
        <v>542</v>
      </c>
      <c r="EW29" s="215" t="s">
        <v>542</v>
      </c>
      <c r="EX29" s="215" t="s">
        <v>542</v>
      </c>
      <c r="EY29" s="215" t="s">
        <v>542</v>
      </c>
      <c r="EZ29" s="215" t="s">
        <v>588</v>
      </c>
      <c r="FA29" s="215" t="s">
        <v>542</v>
      </c>
      <c r="FB29" s="215" t="s">
        <v>542</v>
      </c>
      <c r="FC29" s="215" t="s">
        <v>542</v>
      </c>
      <c r="FD29" s="215" t="s">
        <v>542</v>
      </c>
      <c r="FE29" s="215" t="s">
        <v>542</v>
      </c>
      <c r="FF29" s="215" t="s">
        <v>588</v>
      </c>
      <c r="FG29" s="215" t="s">
        <v>542</v>
      </c>
      <c r="FH29" s="215" t="s">
        <v>542</v>
      </c>
      <c r="FI29" s="215" t="s">
        <v>542</v>
      </c>
      <c r="FJ29" s="215" t="s">
        <v>542</v>
      </c>
      <c r="FK29" s="215" t="s">
        <v>542</v>
      </c>
      <c r="FL29" s="215" t="s">
        <v>588</v>
      </c>
      <c r="FM29" s="215" t="s">
        <v>542</v>
      </c>
      <c r="FN29" s="215" t="s">
        <v>542</v>
      </c>
      <c r="FO29" s="215" t="s">
        <v>542</v>
      </c>
      <c r="FP29" s="215" t="s">
        <v>542</v>
      </c>
      <c r="FQ29" s="215" t="s">
        <v>542</v>
      </c>
      <c r="FR29" s="215" t="s">
        <v>588</v>
      </c>
      <c r="FS29" s="215" t="s">
        <v>542</v>
      </c>
      <c r="FT29" s="215" t="s">
        <v>542</v>
      </c>
      <c r="FU29" s="215" t="s">
        <v>542</v>
      </c>
      <c r="FV29" s="215" t="s">
        <v>542</v>
      </c>
      <c r="FW29" s="215" t="s">
        <v>542</v>
      </c>
      <c r="FX29" s="215" t="s">
        <v>588</v>
      </c>
      <c r="FY29" s="215" t="s">
        <v>542</v>
      </c>
      <c r="FZ29" s="215" t="s">
        <v>588</v>
      </c>
      <c r="GA29" s="215" t="s">
        <v>542</v>
      </c>
      <c r="GB29" s="215" t="s">
        <v>542</v>
      </c>
      <c r="GC29" s="215" t="s">
        <v>542</v>
      </c>
      <c r="GD29" s="215" t="s">
        <v>542</v>
      </c>
      <c r="GE29" s="215" t="s">
        <v>542</v>
      </c>
      <c r="GF29" s="215" t="s">
        <v>542</v>
      </c>
      <c r="GG29" s="215" t="s">
        <v>542</v>
      </c>
      <c r="GH29" s="215" t="s">
        <v>588</v>
      </c>
      <c r="GI29" s="215" t="s">
        <v>542</v>
      </c>
      <c r="GJ29" s="215" t="s">
        <v>588</v>
      </c>
    </row>
    <row r="30" spans="1:192" x14ac:dyDescent="0.2">
      <c r="A30" s="215" t="s">
        <v>585</v>
      </c>
      <c r="B30" s="215">
        <v>2025</v>
      </c>
      <c r="C30" s="215" t="s">
        <v>541</v>
      </c>
      <c r="D30" s="215" t="s">
        <v>541</v>
      </c>
      <c r="E30" s="215" t="s">
        <v>541</v>
      </c>
      <c r="F30" s="215" t="s">
        <v>541</v>
      </c>
      <c r="G30" s="215" t="s">
        <v>542</v>
      </c>
      <c r="H30" s="215" t="s">
        <v>541</v>
      </c>
      <c r="I30" s="215" t="s">
        <v>580</v>
      </c>
      <c r="J30" s="215" t="s">
        <v>542</v>
      </c>
      <c r="K30" s="215" t="s">
        <v>542</v>
      </c>
      <c r="L30" s="215" t="s">
        <v>542</v>
      </c>
      <c r="M30" s="215" t="s">
        <v>542</v>
      </c>
      <c r="N30" s="215" t="s">
        <v>542</v>
      </c>
      <c r="O30" s="215" t="s">
        <v>542</v>
      </c>
      <c r="P30" s="215" t="s">
        <v>542</v>
      </c>
      <c r="Q30" s="215" t="s">
        <v>542</v>
      </c>
      <c r="R30" s="215" t="s">
        <v>542</v>
      </c>
      <c r="S30" s="215" t="s">
        <v>588</v>
      </c>
      <c r="T30" s="215" t="s">
        <v>542</v>
      </c>
      <c r="U30" s="215" t="s">
        <v>588</v>
      </c>
      <c r="V30" s="215" t="s">
        <v>541</v>
      </c>
      <c r="W30" s="215" t="s">
        <v>541</v>
      </c>
      <c r="X30" s="215" t="s">
        <v>541</v>
      </c>
      <c r="Y30" s="215" t="s">
        <v>541</v>
      </c>
      <c r="Z30" s="215" t="s">
        <v>542</v>
      </c>
      <c r="AA30" s="215" t="s">
        <v>541</v>
      </c>
      <c r="AB30" s="215" t="s">
        <v>542</v>
      </c>
      <c r="AC30" s="215" t="s">
        <v>542</v>
      </c>
      <c r="AD30" s="215" t="s">
        <v>542</v>
      </c>
      <c r="AE30" s="215" t="s">
        <v>542</v>
      </c>
      <c r="AF30" s="215" t="s">
        <v>541</v>
      </c>
      <c r="AG30" s="215" t="s">
        <v>604</v>
      </c>
      <c r="AH30" s="215" t="s">
        <v>542</v>
      </c>
      <c r="AI30" s="215" t="s">
        <v>542</v>
      </c>
      <c r="AJ30" s="215" t="s">
        <v>588</v>
      </c>
      <c r="AK30" s="215" t="s">
        <v>542</v>
      </c>
      <c r="AL30" s="215" t="s">
        <v>588</v>
      </c>
      <c r="AM30" s="215" t="s">
        <v>541</v>
      </c>
      <c r="AN30" s="215" t="s">
        <v>606</v>
      </c>
      <c r="AO30" s="215" t="s">
        <v>541</v>
      </c>
      <c r="AP30" s="215" t="s">
        <v>542</v>
      </c>
      <c r="AQ30" s="215" t="s">
        <v>541</v>
      </c>
      <c r="AR30" s="215" t="s">
        <v>542</v>
      </c>
      <c r="AS30" s="215" t="s">
        <v>542</v>
      </c>
      <c r="AT30" s="215" t="s">
        <v>542</v>
      </c>
      <c r="AU30" s="215" t="s">
        <v>542</v>
      </c>
      <c r="AV30" s="215" t="s">
        <v>542</v>
      </c>
      <c r="AW30" s="215" t="s">
        <v>588</v>
      </c>
      <c r="AX30" s="215" t="s">
        <v>542</v>
      </c>
      <c r="AY30" s="215" t="s">
        <v>588</v>
      </c>
      <c r="AZ30" s="215" t="s">
        <v>542</v>
      </c>
      <c r="BA30" s="215" t="s">
        <v>542</v>
      </c>
      <c r="BB30" s="215" t="s">
        <v>542</v>
      </c>
      <c r="BC30" s="215" t="s">
        <v>542</v>
      </c>
      <c r="BD30" s="215" t="s">
        <v>588</v>
      </c>
      <c r="BE30" s="215" t="s">
        <v>542</v>
      </c>
      <c r="BF30" s="215" t="s">
        <v>542</v>
      </c>
      <c r="BG30" s="215" t="s">
        <v>588</v>
      </c>
      <c r="BH30" s="215" t="s">
        <v>542</v>
      </c>
      <c r="BI30" s="215" t="s">
        <v>542</v>
      </c>
      <c r="BJ30" s="215" t="s">
        <v>542</v>
      </c>
      <c r="BK30" s="215" t="s">
        <v>542</v>
      </c>
      <c r="BL30" s="215" t="s">
        <v>588</v>
      </c>
      <c r="BM30" s="215" t="s">
        <v>542</v>
      </c>
      <c r="BN30" s="215" t="s">
        <v>588</v>
      </c>
      <c r="BO30" s="215" t="s">
        <v>542</v>
      </c>
      <c r="BP30" s="215" t="s">
        <v>542</v>
      </c>
      <c r="BQ30" s="215" t="s">
        <v>542</v>
      </c>
      <c r="BR30" s="215" t="s">
        <v>542</v>
      </c>
      <c r="BS30" s="215" t="s">
        <v>542</v>
      </c>
      <c r="BT30" s="215" t="s">
        <v>542</v>
      </c>
      <c r="BU30" s="215" t="s">
        <v>542</v>
      </c>
      <c r="BV30" s="215" t="s">
        <v>588</v>
      </c>
      <c r="BW30" s="215" t="s">
        <v>542</v>
      </c>
      <c r="BX30" s="215" t="s">
        <v>542</v>
      </c>
      <c r="BY30" s="215" t="s">
        <v>542</v>
      </c>
      <c r="BZ30" s="215" t="s">
        <v>542</v>
      </c>
      <c r="CA30" s="215" t="s">
        <v>542</v>
      </c>
      <c r="CB30" s="215" t="s">
        <v>542</v>
      </c>
      <c r="CC30" s="215" t="s">
        <v>542</v>
      </c>
      <c r="CD30" s="215" t="s">
        <v>542</v>
      </c>
      <c r="CE30" s="215" t="s">
        <v>542</v>
      </c>
      <c r="CF30" s="215" t="s">
        <v>542</v>
      </c>
      <c r="CG30" s="215" t="s">
        <v>542</v>
      </c>
      <c r="CH30" s="215" t="s">
        <v>542</v>
      </c>
      <c r="CI30" s="215" t="s">
        <v>542</v>
      </c>
      <c r="CJ30" s="215" t="s">
        <v>542</v>
      </c>
      <c r="CK30" s="215" t="s">
        <v>542</v>
      </c>
      <c r="CL30" s="215" t="s">
        <v>542</v>
      </c>
      <c r="CM30" s="215" t="s">
        <v>542</v>
      </c>
      <c r="CN30" s="215" t="s">
        <v>542</v>
      </c>
      <c r="CO30" s="215" t="s">
        <v>542</v>
      </c>
      <c r="CP30" s="215" t="s">
        <v>542</v>
      </c>
      <c r="CQ30" s="215" t="s">
        <v>542</v>
      </c>
      <c r="CR30" s="215" t="s">
        <v>542</v>
      </c>
      <c r="CS30" s="215" t="s">
        <v>542</v>
      </c>
      <c r="CT30" s="215" t="s">
        <v>541</v>
      </c>
      <c r="CU30" s="215" t="s">
        <v>542</v>
      </c>
      <c r="CV30" s="215" t="s">
        <v>542</v>
      </c>
      <c r="CW30" s="215" t="s">
        <v>542</v>
      </c>
      <c r="CX30" s="215" t="s">
        <v>542</v>
      </c>
      <c r="CY30" s="215" t="s">
        <v>542</v>
      </c>
      <c r="CZ30" s="215" t="s">
        <v>542</v>
      </c>
      <c r="DA30" s="215" t="s">
        <v>542</v>
      </c>
      <c r="DB30" s="215" t="s">
        <v>542</v>
      </c>
      <c r="DC30" s="215" t="s">
        <v>542</v>
      </c>
      <c r="DD30" s="215" t="s">
        <v>542</v>
      </c>
      <c r="DE30" s="215" t="s">
        <v>542</v>
      </c>
      <c r="DF30" s="215" t="s">
        <v>542</v>
      </c>
      <c r="DG30" s="215" t="s">
        <v>542</v>
      </c>
      <c r="DH30" s="215" t="s">
        <v>542</v>
      </c>
      <c r="DI30" s="215" t="s">
        <v>542</v>
      </c>
      <c r="DJ30" s="215" t="s">
        <v>542</v>
      </c>
      <c r="DK30" s="215" t="s">
        <v>542</v>
      </c>
      <c r="DL30" s="215" t="s">
        <v>588</v>
      </c>
      <c r="DM30" s="215" t="s">
        <v>542</v>
      </c>
      <c r="DN30" s="215" t="s">
        <v>542</v>
      </c>
      <c r="DO30" s="215" t="s">
        <v>542</v>
      </c>
      <c r="DP30" s="215" t="s">
        <v>542</v>
      </c>
      <c r="DQ30" s="215" t="s">
        <v>542</v>
      </c>
      <c r="DR30" s="215" t="s">
        <v>542</v>
      </c>
      <c r="DS30" s="215" t="s">
        <v>588</v>
      </c>
      <c r="DT30" s="215" t="s">
        <v>542</v>
      </c>
      <c r="DU30" s="215" t="s">
        <v>542</v>
      </c>
      <c r="DV30" s="215" t="s">
        <v>542</v>
      </c>
      <c r="DW30" s="215" t="s">
        <v>542</v>
      </c>
      <c r="DX30" s="215" t="s">
        <v>542</v>
      </c>
      <c r="DY30" s="215" t="s">
        <v>588</v>
      </c>
      <c r="DZ30" s="215" t="s">
        <v>542</v>
      </c>
      <c r="EA30" s="215" t="s">
        <v>542</v>
      </c>
      <c r="EB30" s="215" t="s">
        <v>542</v>
      </c>
      <c r="EC30" s="215" t="s">
        <v>542</v>
      </c>
      <c r="ED30" s="215" t="s">
        <v>542</v>
      </c>
      <c r="EE30" s="215" t="s">
        <v>588</v>
      </c>
      <c r="EF30" s="215" t="s">
        <v>542</v>
      </c>
      <c r="EG30" s="215" t="s">
        <v>542</v>
      </c>
      <c r="EH30" s="215" t="s">
        <v>542</v>
      </c>
      <c r="EI30" s="215" t="s">
        <v>542</v>
      </c>
      <c r="EJ30" s="215" t="s">
        <v>542</v>
      </c>
      <c r="EK30" s="215" t="s">
        <v>588</v>
      </c>
      <c r="EL30" s="215" t="s">
        <v>542</v>
      </c>
      <c r="EM30" s="215" t="s">
        <v>542</v>
      </c>
      <c r="EN30" s="215" t="s">
        <v>542</v>
      </c>
      <c r="EO30" s="215" t="s">
        <v>542</v>
      </c>
      <c r="EP30" s="215" t="s">
        <v>542</v>
      </c>
      <c r="EQ30" s="215" t="s">
        <v>588</v>
      </c>
      <c r="ER30" s="215" t="s">
        <v>542</v>
      </c>
      <c r="ES30" s="215" t="s">
        <v>588</v>
      </c>
      <c r="ET30" s="215" t="s">
        <v>542</v>
      </c>
      <c r="EU30" s="215" t="s">
        <v>542</v>
      </c>
      <c r="EV30" s="215" t="s">
        <v>542</v>
      </c>
      <c r="EW30" s="215" t="s">
        <v>542</v>
      </c>
      <c r="EX30" s="215" t="s">
        <v>542</v>
      </c>
      <c r="EY30" s="215" t="s">
        <v>542</v>
      </c>
      <c r="EZ30" s="215" t="s">
        <v>588</v>
      </c>
      <c r="FA30" s="215" t="s">
        <v>542</v>
      </c>
      <c r="FB30" s="215" t="s">
        <v>542</v>
      </c>
      <c r="FC30" s="215" t="s">
        <v>542</v>
      </c>
      <c r="FD30" s="215" t="s">
        <v>542</v>
      </c>
      <c r="FE30" s="215" t="s">
        <v>542</v>
      </c>
      <c r="FF30" s="215" t="s">
        <v>588</v>
      </c>
      <c r="FG30" s="215" t="s">
        <v>542</v>
      </c>
      <c r="FH30" s="215" t="s">
        <v>542</v>
      </c>
      <c r="FI30" s="215" t="s">
        <v>542</v>
      </c>
      <c r="FJ30" s="215" t="s">
        <v>542</v>
      </c>
      <c r="FK30" s="215" t="s">
        <v>542</v>
      </c>
      <c r="FL30" s="215" t="s">
        <v>588</v>
      </c>
      <c r="FM30" s="215" t="s">
        <v>542</v>
      </c>
      <c r="FN30" s="215" t="s">
        <v>542</v>
      </c>
      <c r="FO30" s="215" t="s">
        <v>542</v>
      </c>
      <c r="FP30" s="215" t="s">
        <v>542</v>
      </c>
      <c r="FQ30" s="215" t="s">
        <v>542</v>
      </c>
      <c r="FR30" s="215" t="s">
        <v>588</v>
      </c>
      <c r="FS30" s="215" t="s">
        <v>542</v>
      </c>
      <c r="FT30" s="215" t="s">
        <v>542</v>
      </c>
      <c r="FU30" s="215" t="s">
        <v>542</v>
      </c>
      <c r="FV30" s="215" t="s">
        <v>542</v>
      </c>
      <c r="FW30" s="215" t="s">
        <v>542</v>
      </c>
      <c r="FX30" s="215" t="s">
        <v>588</v>
      </c>
      <c r="FY30" s="215" t="s">
        <v>542</v>
      </c>
      <c r="FZ30" s="215">
        <v>0</v>
      </c>
      <c r="GA30" s="215" t="s">
        <v>542</v>
      </c>
      <c r="GB30" s="215" t="s">
        <v>542</v>
      </c>
      <c r="GC30" s="215" t="s">
        <v>542</v>
      </c>
      <c r="GD30" s="215" t="s">
        <v>542</v>
      </c>
      <c r="GE30" s="215" t="s">
        <v>542</v>
      </c>
      <c r="GF30" s="215" t="s">
        <v>542</v>
      </c>
      <c r="GG30" s="215" t="s">
        <v>542</v>
      </c>
      <c r="GH30" s="215" t="s">
        <v>588</v>
      </c>
      <c r="GI30" s="215" t="s">
        <v>542</v>
      </c>
      <c r="GJ30" s="215" t="s">
        <v>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346B-BF2B-B642-BABD-738A50CDC5CA}">
  <dimension ref="A2:GJ30"/>
  <sheetViews>
    <sheetView zoomScale="125" workbookViewId="0">
      <pane xSplit="1" ySplit="2" topLeftCell="CF3" activePane="bottomRight" state="frozen"/>
      <selection pane="topRight" activeCell="B1" sqref="B1"/>
      <selection pane="bottomLeft" activeCell="A2" sqref="A2"/>
      <selection pane="bottomRight" activeCell="CO29" sqref="CO29"/>
    </sheetView>
  </sheetViews>
  <sheetFormatPr baseColWidth="10" defaultRowHeight="15" x14ac:dyDescent="0.2"/>
  <cols>
    <col min="1" max="16384" width="10.83203125" style="215"/>
  </cols>
  <sheetData>
    <row r="2" spans="1:192" s="214" customFormat="1" ht="80" x14ac:dyDescent="0.2">
      <c r="A2" s="214" t="s">
        <v>240</v>
      </c>
      <c r="B2" s="214" t="s">
        <v>241</v>
      </c>
      <c r="C2" s="214" t="s">
        <v>242</v>
      </c>
      <c r="D2" s="214" t="s">
        <v>243</v>
      </c>
      <c r="E2" s="214" t="s">
        <v>244</v>
      </c>
      <c r="F2" s="214" t="s">
        <v>245</v>
      </c>
      <c r="G2" s="214" t="s">
        <v>379</v>
      </c>
      <c r="H2" s="214" t="s">
        <v>246</v>
      </c>
      <c r="I2" s="214" t="s">
        <v>247</v>
      </c>
      <c r="J2" s="214" t="s">
        <v>248</v>
      </c>
      <c r="K2" s="214" t="s">
        <v>249</v>
      </c>
      <c r="L2" s="214" t="s">
        <v>250</v>
      </c>
      <c r="M2" s="214" t="s">
        <v>251</v>
      </c>
      <c r="N2" s="214" t="s">
        <v>252</v>
      </c>
      <c r="O2" s="214" t="s">
        <v>253</v>
      </c>
      <c r="P2" s="214" t="s">
        <v>254</v>
      </c>
      <c r="Q2" s="214" t="s">
        <v>255</v>
      </c>
      <c r="R2" s="214" t="s">
        <v>256</v>
      </c>
      <c r="S2" s="214" t="s">
        <v>257</v>
      </c>
      <c r="T2" s="214" t="s">
        <v>511</v>
      </c>
      <c r="U2" s="214" t="s">
        <v>512</v>
      </c>
      <c r="V2" s="214" t="s">
        <v>258</v>
      </c>
      <c r="W2" s="214" t="s">
        <v>259</v>
      </c>
      <c r="X2" s="214" t="s">
        <v>260</v>
      </c>
      <c r="Y2" s="214" t="s">
        <v>301</v>
      </c>
      <c r="Z2" s="214" t="s">
        <v>261</v>
      </c>
      <c r="AA2" s="214" t="s">
        <v>262</v>
      </c>
      <c r="AB2" s="214" t="s">
        <v>263</v>
      </c>
      <c r="AC2" s="214" t="s">
        <v>302</v>
      </c>
      <c r="AD2" s="214" t="s">
        <v>264</v>
      </c>
      <c r="AE2" s="214" t="s">
        <v>265</v>
      </c>
      <c r="AF2" s="214" t="s">
        <v>266</v>
      </c>
      <c r="AG2" s="214" t="s">
        <v>267</v>
      </c>
      <c r="AH2" s="214" t="s">
        <v>268</v>
      </c>
      <c r="AI2" s="214" t="s">
        <v>269</v>
      </c>
      <c r="AJ2" s="214" t="s">
        <v>270</v>
      </c>
      <c r="AK2" s="214" t="s">
        <v>271</v>
      </c>
      <c r="AL2" s="214" t="s">
        <v>272</v>
      </c>
      <c r="AM2" s="214" t="s">
        <v>305</v>
      </c>
      <c r="AN2" s="214" t="s">
        <v>273</v>
      </c>
      <c r="AO2" s="214" t="s">
        <v>275</v>
      </c>
      <c r="AP2" s="214" t="s">
        <v>276</v>
      </c>
      <c r="AQ2" s="214" t="s">
        <v>415</v>
      </c>
      <c r="AR2" s="214" t="s">
        <v>422</v>
      </c>
      <c r="AS2" s="214" t="s">
        <v>423</v>
      </c>
      <c r="AT2" s="214" t="s">
        <v>423</v>
      </c>
      <c r="AU2" s="214" t="s">
        <v>424</v>
      </c>
      <c r="AV2" s="214" t="s">
        <v>427</v>
      </c>
      <c r="AW2" s="214" t="s">
        <v>426</v>
      </c>
      <c r="AX2" s="214" t="s">
        <v>425</v>
      </c>
      <c r="AY2" s="214" t="s">
        <v>428</v>
      </c>
      <c r="AZ2" s="214" t="s">
        <v>277</v>
      </c>
      <c r="BA2" s="214" t="s">
        <v>429</v>
      </c>
      <c r="BB2" s="214" t="s">
        <v>278</v>
      </c>
      <c r="BC2" s="214" t="s">
        <v>430</v>
      </c>
      <c r="BD2" s="214" t="s">
        <v>432</v>
      </c>
      <c r="BE2" s="214" t="s">
        <v>431</v>
      </c>
      <c r="BF2" s="214" t="s">
        <v>306</v>
      </c>
      <c r="BG2" s="214" t="s">
        <v>279</v>
      </c>
      <c r="BH2" s="214" t="s">
        <v>280</v>
      </c>
      <c r="BI2" s="214" t="s">
        <v>281</v>
      </c>
      <c r="BJ2" s="214" t="s">
        <v>282</v>
      </c>
      <c r="BK2" s="214" t="s">
        <v>283</v>
      </c>
      <c r="BL2" s="214" t="s">
        <v>284</v>
      </c>
      <c r="BM2" s="214" t="s">
        <v>285</v>
      </c>
      <c r="BN2" s="214" t="s">
        <v>286</v>
      </c>
      <c r="BO2" s="214" t="s">
        <v>287</v>
      </c>
      <c r="BP2" s="214" t="s">
        <v>288</v>
      </c>
      <c r="BQ2" s="214" t="s">
        <v>312</v>
      </c>
      <c r="BR2" s="214" t="s">
        <v>289</v>
      </c>
      <c r="BS2" s="214" t="s">
        <v>315</v>
      </c>
      <c r="BT2" s="214" t="s">
        <v>290</v>
      </c>
      <c r="BU2" s="214" t="s">
        <v>291</v>
      </c>
      <c r="BV2" s="214" t="s">
        <v>292</v>
      </c>
      <c r="BW2" s="214" t="s">
        <v>293</v>
      </c>
      <c r="BX2" s="214" t="s">
        <v>316</v>
      </c>
      <c r="BY2" s="214" t="s">
        <v>294</v>
      </c>
      <c r="BZ2" s="214" t="s">
        <v>317</v>
      </c>
      <c r="CA2" s="214" t="s">
        <v>318</v>
      </c>
      <c r="CB2" s="214" t="s">
        <v>319</v>
      </c>
      <c r="CC2" s="214" t="s">
        <v>327</v>
      </c>
      <c r="CD2" s="214" t="s">
        <v>295</v>
      </c>
      <c r="CE2" s="214" t="s">
        <v>320</v>
      </c>
      <c r="CF2" s="214" t="s">
        <v>321</v>
      </c>
      <c r="CG2" s="214" t="s">
        <v>322</v>
      </c>
      <c r="CH2" s="214" t="s">
        <v>328</v>
      </c>
      <c r="CI2" s="214" t="s">
        <v>323</v>
      </c>
      <c r="CJ2" s="214" t="s">
        <v>324</v>
      </c>
      <c r="CK2" s="214" t="s">
        <v>325</v>
      </c>
      <c r="CL2" s="214" t="s">
        <v>326</v>
      </c>
      <c r="CM2" s="214" t="s">
        <v>329</v>
      </c>
      <c r="CN2" s="214" t="s">
        <v>515</v>
      </c>
      <c r="CO2" s="214" t="s">
        <v>516</v>
      </c>
      <c r="CP2" s="214" t="s">
        <v>518</v>
      </c>
      <c r="CQ2" s="214" t="s">
        <v>517</v>
      </c>
      <c r="CR2" s="214" t="s">
        <v>519</v>
      </c>
      <c r="CS2" s="214" t="s">
        <v>520</v>
      </c>
      <c r="CT2" s="214" t="s">
        <v>521</v>
      </c>
      <c r="CU2" s="214" t="s">
        <v>522</v>
      </c>
      <c r="CV2" s="214" t="s">
        <v>523</v>
      </c>
      <c r="CW2" s="214" t="s">
        <v>524</v>
      </c>
      <c r="CX2" s="214" t="s">
        <v>525</v>
      </c>
      <c r="CY2" s="214" t="s">
        <v>526</v>
      </c>
      <c r="CZ2" s="214" t="s">
        <v>527</v>
      </c>
      <c r="DA2" s="214" t="s">
        <v>528</v>
      </c>
      <c r="DB2" s="214" t="s">
        <v>529</v>
      </c>
      <c r="DC2" s="214" t="s">
        <v>530</v>
      </c>
      <c r="DD2" s="214" t="s">
        <v>531</v>
      </c>
      <c r="DE2" s="214" t="s">
        <v>532</v>
      </c>
      <c r="DF2" s="214" t="s">
        <v>533</v>
      </c>
      <c r="DG2" s="214" t="s">
        <v>534</v>
      </c>
      <c r="DH2" s="214" t="s">
        <v>535</v>
      </c>
      <c r="DI2" s="214" t="s">
        <v>536</v>
      </c>
      <c r="DJ2" s="214" t="s">
        <v>537</v>
      </c>
      <c r="DK2" s="214" t="s">
        <v>538</v>
      </c>
      <c r="DL2" s="214" t="s">
        <v>539</v>
      </c>
      <c r="DM2" s="214" t="s">
        <v>296</v>
      </c>
      <c r="DN2" s="214" t="s">
        <v>330</v>
      </c>
      <c r="DO2" s="214" t="s">
        <v>331</v>
      </c>
      <c r="DP2" s="214" t="s">
        <v>332</v>
      </c>
      <c r="DQ2" s="214" t="s">
        <v>333</v>
      </c>
      <c r="DR2" s="214" t="s">
        <v>350</v>
      </c>
      <c r="DS2" s="214" t="s">
        <v>371</v>
      </c>
      <c r="DT2" s="214" t="s">
        <v>334</v>
      </c>
      <c r="DU2" s="214" t="s">
        <v>335</v>
      </c>
      <c r="DV2" s="214" t="s">
        <v>336</v>
      </c>
      <c r="DW2" s="214" t="s">
        <v>337</v>
      </c>
      <c r="DX2" s="214" t="s">
        <v>351</v>
      </c>
      <c r="DY2" s="214" t="s">
        <v>372</v>
      </c>
      <c r="DZ2" s="214" t="s">
        <v>338</v>
      </c>
      <c r="EA2" s="214" t="s">
        <v>339</v>
      </c>
      <c r="EB2" s="214" t="s">
        <v>340</v>
      </c>
      <c r="EC2" s="214" t="s">
        <v>341</v>
      </c>
      <c r="ED2" s="214" t="s">
        <v>352</v>
      </c>
      <c r="EE2" s="214" t="s">
        <v>373</v>
      </c>
      <c r="EF2" s="214" t="s">
        <v>342</v>
      </c>
      <c r="EG2" s="214" t="s">
        <v>353</v>
      </c>
      <c r="EH2" s="214" t="s">
        <v>343</v>
      </c>
      <c r="EI2" s="214" t="s">
        <v>344</v>
      </c>
      <c r="EJ2" s="214" t="s">
        <v>354</v>
      </c>
      <c r="EK2" s="214" t="s">
        <v>374</v>
      </c>
      <c r="EL2" s="214" t="s">
        <v>345</v>
      </c>
      <c r="EM2" s="214" t="s">
        <v>355</v>
      </c>
      <c r="EN2" s="214" t="s">
        <v>346</v>
      </c>
      <c r="EO2" s="214" t="s">
        <v>347</v>
      </c>
      <c r="EP2" s="214" t="s">
        <v>356</v>
      </c>
      <c r="EQ2" s="214" t="s">
        <v>375</v>
      </c>
      <c r="ER2" s="214" t="s">
        <v>348</v>
      </c>
      <c r="ES2" s="214" t="s">
        <v>349</v>
      </c>
      <c r="ET2" s="214" t="s">
        <v>469</v>
      </c>
      <c r="EU2" s="214" t="s">
        <v>470</v>
      </c>
      <c r="EV2" s="214" t="s">
        <v>471</v>
      </c>
      <c r="EW2" s="214" t="s">
        <v>472</v>
      </c>
      <c r="EX2" s="214" t="s">
        <v>473</v>
      </c>
      <c r="EY2" s="214" t="s">
        <v>474</v>
      </c>
      <c r="EZ2" s="214" t="s">
        <v>475</v>
      </c>
      <c r="FA2" s="214" t="s">
        <v>476</v>
      </c>
      <c r="FB2" s="214" t="s">
        <v>477</v>
      </c>
      <c r="FC2" s="214" t="s">
        <v>478</v>
      </c>
      <c r="FD2" s="214" t="s">
        <v>479</v>
      </c>
      <c r="FE2" s="214" t="s">
        <v>480</v>
      </c>
      <c r="FF2" s="214" t="s">
        <v>481</v>
      </c>
      <c r="FG2" s="214" t="s">
        <v>482</v>
      </c>
      <c r="FH2" s="214" t="s">
        <v>483</v>
      </c>
      <c r="FI2" s="214" t="s">
        <v>484</v>
      </c>
      <c r="FJ2" s="214" t="s">
        <v>485</v>
      </c>
      <c r="FK2" s="214" t="s">
        <v>486</v>
      </c>
      <c r="FL2" s="214" t="s">
        <v>487</v>
      </c>
      <c r="FM2" s="214" t="s">
        <v>488</v>
      </c>
      <c r="FN2" s="214" t="s">
        <v>489</v>
      </c>
      <c r="FO2" s="214" t="s">
        <v>490</v>
      </c>
      <c r="FP2" s="214" t="s">
        <v>491</v>
      </c>
      <c r="FQ2" s="214" t="s">
        <v>492</v>
      </c>
      <c r="FR2" s="214" t="s">
        <v>493</v>
      </c>
      <c r="FS2" s="214" t="s">
        <v>494</v>
      </c>
      <c r="FT2" s="214" t="s">
        <v>495</v>
      </c>
      <c r="FU2" s="214" t="s">
        <v>496</v>
      </c>
      <c r="FV2" s="214" t="s">
        <v>497</v>
      </c>
      <c r="FW2" s="214" t="s">
        <v>498</v>
      </c>
      <c r="FX2" s="214" t="s">
        <v>499</v>
      </c>
      <c r="FY2" s="214" t="s">
        <v>500</v>
      </c>
      <c r="FZ2" s="214" t="s">
        <v>501</v>
      </c>
      <c r="GA2" s="214" t="s">
        <v>297</v>
      </c>
      <c r="GB2" s="214" t="s">
        <v>357</v>
      </c>
      <c r="GC2" s="214" t="s">
        <v>358</v>
      </c>
      <c r="GD2" s="214" t="s">
        <v>359</v>
      </c>
      <c r="GE2" s="214" t="s">
        <v>360</v>
      </c>
      <c r="GF2" s="214" t="s">
        <v>298</v>
      </c>
      <c r="GG2" s="214" t="s">
        <v>362</v>
      </c>
      <c r="GH2" s="214" t="s">
        <v>361</v>
      </c>
      <c r="GI2" s="214" t="s">
        <v>299</v>
      </c>
      <c r="GJ2" s="214" t="s">
        <v>300</v>
      </c>
    </row>
    <row r="3" spans="1:192" x14ac:dyDescent="0.2">
      <c r="A3" s="215" t="s">
        <v>540</v>
      </c>
      <c r="B3" s="215">
        <v>2022</v>
      </c>
      <c r="C3" s="215" t="s">
        <v>541</v>
      </c>
      <c r="D3" s="215" t="s">
        <v>541</v>
      </c>
      <c r="E3" s="215" t="s">
        <v>541</v>
      </c>
      <c r="F3" s="215" t="s">
        <v>542</v>
      </c>
      <c r="G3" s="215" t="s">
        <v>542</v>
      </c>
      <c r="H3" s="215" t="s">
        <v>542</v>
      </c>
      <c r="I3" s="215">
        <v>0</v>
      </c>
      <c r="J3" s="215" t="s">
        <v>542</v>
      </c>
      <c r="K3" s="215" t="s">
        <v>541</v>
      </c>
      <c r="L3" s="215" t="s">
        <v>541</v>
      </c>
      <c r="M3" s="215" t="s">
        <v>542</v>
      </c>
      <c r="N3" s="215" t="s">
        <v>542</v>
      </c>
      <c r="O3" s="215" t="s">
        <v>542</v>
      </c>
      <c r="P3" s="215" t="s">
        <v>542</v>
      </c>
      <c r="Q3" s="215" t="s">
        <v>542</v>
      </c>
      <c r="R3" s="215" t="s">
        <v>542</v>
      </c>
      <c r="S3" s="215">
        <v>0</v>
      </c>
      <c r="T3" s="215" t="s">
        <v>542</v>
      </c>
      <c r="U3" s="215">
        <v>0</v>
      </c>
      <c r="V3" s="215" t="s">
        <v>542</v>
      </c>
      <c r="W3" s="215" t="s">
        <v>542</v>
      </c>
      <c r="X3" s="215" t="s">
        <v>542</v>
      </c>
      <c r="Y3" s="215" t="s">
        <v>542</v>
      </c>
      <c r="Z3" s="215" t="s">
        <v>542</v>
      </c>
      <c r="AA3" s="215" t="s">
        <v>542</v>
      </c>
      <c r="AB3" s="215" t="s">
        <v>542</v>
      </c>
      <c r="AC3" s="215" t="s">
        <v>542</v>
      </c>
      <c r="AD3" s="215" t="s">
        <v>542</v>
      </c>
      <c r="AE3" s="215" t="s">
        <v>542</v>
      </c>
      <c r="AF3" s="215" t="s">
        <v>542</v>
      </c>
      <c r="AG3" s="215">
        <v>0</v>
      </c>
      <c r="AH3" s="215" t="s">
        <v>542</v>
      </c>
      <c r="AI3" s="215" t="s">
        <v>542</v>
      </c>
      <c r="AJ3" s="215">
        <v>0</v>
      </c>
      <c r="AK3" s="215" t="s">
        <v>542</v>
      </c>
      <c r="AL3" s="215">
        <v>0</v>
      </c>
      <c r="AM3" s="215" t="s">
        <v>542</v>
      </c>
      <c r="AN3" s="215">
        <v>0</v>
      </c>
      <c r="AO3" s="215" t="s">
        <v>542</v>
      </c>
      <c r="AP3" s="215" t="s">
        <v>542</v>
      </c>
      <c r="AQ3" s="215" t="s">
        <v>542</v>
      </c>
      <c r="AR3" s="215" t="s">
        <v>542</v>
      </c>
      <c r="AS3" s="215" t="s">
        <v>542</v>
      </c>
      <c r="AT3" s="215" t="s">
        <v>542</v>
      </c>
      <c r="AU3" s="215" t="s">
        <v>542</v>
      </c>
      <c r="AV3" s="215" t="s">
        <v>542</v>
      </c>
      <c r="AW3" s="215">
        <v>0</v>
      </c>
      <c r="AX3" s="215" t="s">
        <v>542</v>
      </c>
      <c r="AY3" s="215">
        <v>0</v>
      </c>
      <c r="AZ3" s="215" t="s">
        <v>542</v>
      </c>
      <c r="BA3" s="215" t="s">
        <v>542</v>
      </c>
      <c r="BB3" s="215" t="s">
        <v>542</v>
      </c>
      <c r="BC3" s="215" t="s">
        <v>542</v>
      </c>
      <c r="BD3" s="215">
        <v>0</v>
      </c>
      <c r="BE3" s="215" t="s">
        <v>542</v>
      </c>
      <c r="BF3" s="215" t="s">
        <v>542</v>
      </c>
      <c r="BG3" s="215">
        <v>0</v>
      </c>
      <c r="BH3" s="215" t="s">
        <v>542</v>
      </c>
      <c r="BI3" s="215" t="s">
        <v>542</v>
      </c>
      <c r="BJ3" s="215" t="s">
        <v>542</v>
      </c>
      <c r="BK3" s="215" t="s">
        <v>542</v>
      </c>
      <c r="BL3" s="215" t="s">
        <v>588</v>
      </c>
      <c r="BM3" s="215" t="s">
        <v>542</v>
      </c>
      <c r="BN3" s="215" t="s">
        <v>588</v>
      </c>
      <c r="BO3" s="215" t="s">
        <v>542</v>
      </c>
      <c r="BP3" s="215" t="s">
        <v>542</v>
      </c>
      <c r="BQ3" s="215" t="s">
        <v>542</v>
      </c>
      <c r="BR3" s="215" t="s">
        <v>542</v>
      </c>
      <c r="BS3" s="215" t="s">
        <v>542</v>
      </c>
      <c r="BT3" s="215" t="s">
        <v>542</v>
      </c>
      <c r="BU3" s="215" t="s">
        <v>542</v>
      </c>
      <c r="BV3" s="215">
        <v>0</v>
      </c>
      <c r="BW3" s="215" t="s">
        <v>542</v>
      </c>
      <c r="BX3" s="215" t="s">
        <v>541</v>
      </c>
      <c r="BY3" s="215" t="s">
        <v>542</v>
      </c>
      <c r="BZ3" s="215" t="s">
        <v>542</v>
      </c>
      <c r="CA3" s="215" t="s">
        <v>542</v>
      </c>
      <c r="CB3" s="215" t="s">
        <v>542</v>
      </c>
      <c r="CC3" s="215" t="s">
        <v>542</v>
      </c>
      <c r="CD3" s="215" t="s">
        <v>542</v>
      </c>
      <c r="CE3" s="215" t="s">
        <v>542</v>
      </c>
      <c r="CF3" s="215" t="s">
        <v>542</v>
      </c>
      <c r="CG3" s="215" t="s">
        <v>542</v>
      </c>
      <c r="CH3" s="215" t="s">
        <v>542</v>
      </c>
      <c r="CI3" s="215" t="s">
        <v>542</v>
      </c>
      <c r="CJ3" s="215" t="s">
        <v>542</v>
      </c>
      <c r="CK3" s="215" t="s">
        <v>542</v>
      </c>
      <c r="CL3" s="215" t="s">
        <v>542</v>
      </c>
      <c r="CM3" s="215" t="s">
        <v>542</v>
      </c>
      <c r="CN3" s="215" t="s">
        <v>541</v>
      </c>
      <c r="CO3" s="215" t="s">
        <v>542</v>
      </c>
      <c r="CP3" s="215" t="s">
        <v>542</v>
      </c>
      <c r="CQ3" s="215" t="s">
        <v>542</v>
      </c>
      <c r="CR3" s="215" t="s">
        <v>542</v>
      </c>
      <c r="CS3" s="215" t="s">
        <v>542</v>
      </c>
      <c r="CT3" s="215" t="s">
        <v>542</v>
      </c>
      <c r="CU3" s="215" t="s">
        <v>542</v>
      </c>
      <c r="CV3" s="215" t="s">
        <v>542</v>
      </c>
      <c r="CW3" s="215" t="s">
        <v>542</v>
      </c>
      <c r="CX3" s="215" t="s">
        <v>541</v>
      </c>
      <c r="CY3" s="215" t="s">
        <v>542</v>
      </c>
      <c r="CZ3" s="215" t="s">
        <v>542</v>
      </c>
      <c r="DA3" s="215" t="s">
        <v>542</v>
      </c>
      <c r="DB3" s="215" t="s">
        <v>542</v>
      </c>
      <c r="DC3" s="215" t="s">
        <v>542</v>
      </c>
      <c r="DD3" s="215" t="s">
        <v>542</v>
      </c>
      <c r="DE3" s="215" t="s">
        <v>541</v>
      </c>
      <c r="DF3" s="215" t="s">
        <v>542</v>
      </c>
      <c r="DG3" s="215" t="s">
        <v>542</v>
      </c>
      <c r="DH3" s="215" t="s">
        <v>542</v>
      </c>
      <c r="DI3" s="215" t="s">
        <v>542</v>
      </c>
      <c r="DJ3" s="215" t="s">
        <v>542</v>
      </c>
      <c r="DK3" s="215" t="s">
        <v>542</v>
      </c>
      <c r="DL3" s="215">
        <v>0</v>
      </c>
      <c r="DM3" s="215" t="s">
        <v>542</v>
      </c>
      <c r="DN3" s="215" t="s">
        <v>542</v>
      </c>
      <c r="DO3" s="215" t="s">
        <v>542</v>
      </c>
      <c r="DP3" s="215" t="s">
        <v>542</v>
      </c>
      <c r="DQ3" s="215" t="s">
        <v>542</v>
      </c>
      <c r="DR3" s="215" t="s">
        <v>542</v>
      </c>
      <c r="DS3" s="215">
        <v>0</v>
      </c>
      <c r="DT3" s="215" t="s">
        <v>542</v>
      </c>
      <c r="DU3" s="215" t="s">
        <v>542</v>
      </c>
      <c r="DV3" s="215" t="s">
        <v>542</v>
      </c>
      <c r="DW3" s="215" t="s">
        <v>542</v>
      </c>
      <c r="DX3" s="215" t="s">
        <v>542</v>
      </c>
      <c r="DY3" s="215">
        <v>0</v>
      </c>
      <c r="DZ3" s="215" t="s">
        <v>542</v>
      </c>
      <c r="EA3" s="215" t="s">
        <v>542</v>
      </c>
      <c r="EB3" s="215" t="s">
        <v>542</v>
      </c>
      <c r="EC3" s="215" t="s">
        <v>542</v>
      </c>
      <c r="ED3" s="215" t="s">
        <v>542</v>
      </c>
      <c r="EE3" s="215">
        <v>0</v>
      </c>
      <c r="EF3" s="215" t="s">
        <v>542</v>
      </c>
      <c r="EG3" s="215" t="s">
        <v>542</v>
      </c>
      <c r="EH3" s="215" t="s">
        <v>542</v>
      </c>
      <c r="EI3" s="215" t="s">
        <v>542</v>
      </c>
      <c r="EJ3" s="215" t="s">
        <v>542</v>
      </c>
      <c r="EK3" s="215">
        <v>0</v>
      </c>
      <c r="EL3" s="215" t="s">
        <v>542</v>
      </c>
      <c r="EM3" s="215" t="s">
        <v>542</v>
      </c>
      <c r="EN3" s="215" t="s">
        <v>542</v>
      </c>
      <c r="EO3" s="215" t="s">
        <v>542</v>
      </c>
      <c r="EP3" s="215" t="s">
        <v>542</v>
      </c>
      <c r="EQ3" s="215">
        <v>0</v>
      </c>
      <c r="ER3" s="215" t="s">
        <v>542</v>
      </c>
      <c r="ES3" s="215">
        <v>0</v>
      </c>
      <c r="ET3" s="215" t="s">
        <v>542</v>
      </c>
      <c r="EU3" s="215" t="s">
        <v>542</v>
      </c>
      <c r="EV3" s="215" t="s">
        <v>542</v>
      </c>
      <c r="EW3" s="215" t="s">
        <v>542</v>
      </c>
      <c r="EX3" s="215" t="s">
        <v>542</v>
      </c>
      <c r="EY3" s="215" t="s">
        <v>542</v>
      </c>
      <c r="EZ3" s="215">
        <v>0</v>
      </c>
      <c r="FA3" s="215" t="s">
        <v>542</v>
      </c>
      <c r="FB3" s="215" t="s">
        <v>542</v>
      </c>
      <c r="FC3" s="215" t="s">
        <v>542</v>
      </c>
      <c r="FD3" s="215" t="s">
        <v>542</v>
      </c>
      <c r="FE3" s="215" t="s">
        <v>542</v>
      </c>
      <c r="FF3" s="215">
        <v>0</v>
      </c>
      <c r="FG3" s="215" t="s">
        <v>542</v>
      </c>
      <c r="FH3" s="215" t="s">
        <v>542</v>
      </c>
      <c r="FI3" s="215" t="s">
        <v>542</v>
      </c>
      <c r="FJ3" s="215" t="s">
        <v>542</v>
      </c>
      <c r="FK3" s="215" t="s">
        <v>542</v>
      </c>
      <c r="FL3" s="215" t="s">
        <v>588</v>
      </c>
      <c r="FM3" s="215" t="s">
        <v>542</v>
      </c>
      <c r="FN3" s="215" t="s">
        <v>542</v>
      </c>
      <c r="FO3" s="215" t="s">
        <v>542</v>
      </c>
      <c r="FP3" s="215" t="s">
        <v>542</v>
      </c>
      <c r="FQ3" s="215" t="s">
        <v>542</v>
      </c>
      <c r="FR3" s="215" t="s">
        <v>588</v>
      </c>
      <c r="FS3" s="215" t="s">
        <v>542</v>
      </c>
      <c r="FT3" s="215" t="s">
        <v>542</v>
      </c>
      <c r="FU3" s="215" t="s">
        <v>542</v>
      </c>
      <c r="FV3" s="215" t="s">
        <v>542</v>
      </c>
      <c r="FW3" s="215" t="s">
        <v>542</v>
      </c>
      <c r="FX3" s="215" t="s">
        <v>588</v>
      </c>
      <c r="FY3" s="215" t="s">
        <v>542</v>
      </c>
      <c r="FZ3" s="215" t="s">
        <v>588</v>
      </c>
      <c r="GA3" s="215" t="s">
        <v>542</v>
      </c>
      <c r="GB3" s="215" t="s">
        <v>542</v>
      </c>
      <c r="GC3" s="215" t="s">
        <v>542</v>
      </c>
      <c r="GD3" s="215" t="s">
        <v>542</v>
      </c>
      <c r="GE3" s="215" t="s">
        <v>542</v>
      </c>
      <c r="GF3" s="215" t="s">
        <v>542</v>
      </c>
      <c r="GG3" s="215" t="s">
        <v>542</v>
      </c>
      <c r="GH3" s="215" t="s">
        <v>588</v>
      </c>
      <c r="GI3" s="215" t="s">
        <v>542</v>
      </c>
      <c r="GJ3" s="215">
        <v>0</v>
      </c>
    </row>
    <row r="4" spans="1:192" x14ac:dyDescent="0.2">
      <c r="A4" s="215" t="s">
        <v>543</v>
      </c>
      <c r="B4" s="215">
        <v>2024</v>
      </c>
      <c r="C4" s="215" t="s">
        <v>541</v>
      </c>
      <c r="D4" s="215" t="s">
        <v>541</v>
      </c>
      <c r="E4" s="215" t="s">
        <v>541</v>
      </c>
      <c r="F4" s="215" t="s">
        <v>541</v>
      </c>
      <c r="G4" s="215" t="s">
        <v>542</v>
      </c>
      <c r="H4" s="215" t="s">
        <v>542</v>
      </c>
      <c r="I4" s="215">
        <v>0</v>
      </c>
      <c r="J4" s="215" t="s">
        <v>541</v>
      </c>
      <c r="K4" s="215" t="s">
        <v>541</v>
      </c>
      <c r="L4" s="215" t="s">
        <v>541</v>
      </c>
      <c r="M4" s="215" t="s">
        <v>542</v>
      </c>
      <c r="N4" s="215" t="s">
        <v>542</v>
      </c>
      <c r="O4" s="215" t="s">
        <v>542</v>
      </c>
      <c r="P4" s="215" t="s">
        <v>542</v>
      </c>
      <c r="Q4" s="215" t="s">
        <v>542</v>
      </c>
      <c r="R4" s="215" t="s">
        <v>542</v>
      </c>
      <c r="S4" s="215">
        <v>0</v>
      </c>
      <c r="T4" s="215" t="s">
        <v>542</v>
      </c>
      <c r="U4" s="215">
        <v>0</v>
      </c>
      <c r="V4" s="215" t="s">
        <v>541</v>
      </c>
      <c r="W4" s="215" t="s">
        <v>541</v>
      </c>
      <c r="X4" s="215" t="s">
        <v>541</v>
      </c>
      <c r="Y4" s="215" t="s">
        <v>541</v>
      </c>
      <c r="Z4" s="215" t="s">
        <v>541</v>
      </c>
      <c r="AA4" s="215" t="s">
        <v>542</v>
      </c>
      <c r="AB4" s="215" t="s">
        <v>542</v>
      </c>
      <c r="AC4" s="215" t="s">
        <v>542</v>
      </c>
      <c r="AD4" s="215" t="s">
        <v>542</v>
      </c>
      <c r="AE4" s="215" t="s">
        <v>542</v>
      </c>
      <c r="AF4" s="215" t="s">
        <v>542</v>
      </c>
      <c r="AG4" s="215">
        <v>0</v>
      </c>
      <c r="AH4" s="215" t="s">
        <v>541</v>
      </c>
      <c r="AI4" s="215" t="s">
        <v>542</v>
      </c>
      <c r="AJ4" s="215">
        <v>0</v>
      </c>
      <c r="AK4" s="215" t="s">
        <v>542</v>
      </c>
      <c r="AL4" s="215">
        <v>0</v>
      </c>
      <c r="AM4" s="215" t="s">
        <v>542</v>
      </c>
      <c r="AN4" s="215">
        <v>0</v>
      </c>
      <c r="AO4" s="215" t="s">
        <v>542</v>
      </c>
      <c r="AP4" s="215" t="s">
        <v>542</v>
      </c>
      <c r="AQ4" s="215" t="s">
        <v>542</v>
      </c>
      <c r="AR4" s="215" t="s">
        <v>542</v>
      </c>
      <c r="AS4" s="215" t="s">
        <v>542</v>
      </c>
      <c r="AT4" s="215" t="s">
        <v>542</v>
      </c>
      <c r="AU4" s="215" t="s">
        <v>542</v>
      </c>
      <c r="AV4" s="215" t="s">
        <v>542</v>
      </c>
      <c r="AW4" s="215">
        <v>0</v>
      </c>
      <c r="AX4" s="215" t="s">
        <v>542</v>
      </c>
      <c r="AY4" s="215">
        <v>0</v>
      </c>
      <c r="AZ4" s="215" t="s">
        <v>542</v>
      </c>
      <c r="BA4" s="215" t="s">
        <v>542</v>
      </c>
      <c r="BB4" s="215" t="s">
        <v>542</v>
      </c>
      <c r="BC4" s="215" t="s">
        <v>542</v>
      </c>
      <c r="BD4" s="215">
        <v>0</v>
      </c>
      <c r="BE4" s="215" t="s">
        <v>542</v>
      </c>
      <c r="BF4" s="215" t="s">
        <v>542</v>
      </c>
      <c r="BG4" s="215">
        <v>0</v>
      </c>
      <c r="BH4" s="215" t="s">
        <v>542</v>
      </c>
      <c r="BI4" s="215" t="s">
        <v>542</v>
      </c>
      <c r="BJ4" s="215" t="s">
        <v>542</v>
      </c>
      <c r="BK4" s="215" t="s">
        <v>542</v>
      </c>
      <c r="BL4" s="215" t="s">
        <v>588</v>
      </c>
      <c r="BM4" s="215" t="s">
        <v>542</v>
      </c>
      <c r="BN4" s="215" t="s">
        <v>588</v>
      </c>
      <c r="BO4" s="215" t="s">
        <v>542</v>
      </c>
      <c r="BP4" s="215" t="s">
        <v>542</v>
      </c>
      <c r="BQ4" s="215" t="s">
        <v>542</v>
      </c>
      <c r="BR4" s="215" t="s">
        <v>542</v>
      </c>
      <c r="BS4" s="215" t="s">
        <v>542</v>
      </c>
      <c r="BT4" s="215" t="s">
        <v>542</v>
      </c>
      <c r="BU4" s="215" t="s">
        <v>542</v>
      </c>
      <c r="BV4" s="215">
        <v>0</v>
      </c>
      <c r="BW4" s="215" t="s">
        <v>541</v>
      </c>
      <c r="BX4" s="215" t="s">
        <v>541</v>
      </c>
      <c r="BY4" s="215" t="s">
        <v>541</v>
      </c>
      <c r="BZ4" s="215" t="s">
        <v>542</v>
      </c>
      <c r="CA4" s="215" t="s">
        <v>542</v>
      </c>
      <c r="CB4" s="215" t="s">
        <v>542</v>
      </c>
      <c r="CC4" s="215" t="s">
        <v>542</v>
      </c>
      <c r="CD4" s="215" t="s">
        <v>542</v>
      </c>
      <c r="CE4" s="215" t="s">
        <v>542</v>
      </c>
      <c r="CF4" s="215" t="s">
        <v>542</v>
      </c>
      <c r="CG4" s="215" t="s">
        <v>542</v>
      </c>
      <c r="CH4" s="215" t="s">
        <v>541</v>
      </c>
      <c r="CI4" s="215" t="s">
        <v>541</v>
      </c>
      <c r="CJ4" s="215" t="s">
        <v>542</v>
      </c>
      <c r="CK4" s="215" t="s">
        <v>542</v>
      </c>
      <c r="CL4" s="215" t="s">
        <v>542</v>
      </c>
      <c r="CM4" s="215" t="s">
        <v>542</v>
      </c>
      <c r="CN4" s="215" t="s">
        <v>541</v>
      </c>
      <c r="CO4" s="215" t="s">
        <v>542</v>
      </c>
      <c r="CP4" s="215" t="s">
        <v>542</v>
      </c>
      <c r="CQ4" s="215" t="s">
        <v>542</v>
      </c>
      <c r="CR4" s="215" t="s">
        <v>542</v>
      </c>
      <c r="CS4" s="215" t="s">
        <v>542</v>
      </c>
      <c r="CT4" s="215" t="s">
        <v>542</v>
      </c>
      <c r="CU4" s="215" t="s">
        <v>542</v>
      </c>
      <c r="CV4" s="215" t="s">
        <v>542</v>
      </c>
      <c r="CW4" s="215" t="s">
        <v>542</v>
      </c>
      <c r="CX4" s="215" t="s">
        <v>541</v>
      </c>
      <c r="CY4" s="215" t="s">
        <v>542</v>
      </c>
      <c r="CZ4" s="215" t="s">
        <v>541</v>
      </c>
      <c r="DA4" s="215" t="s">
        <v>541</v>
      </c>
      <c r="DB4" s="215" t="s">
        <v>542</v>
      </c>
      <c r="DC4" s="215" t="s">
        <v>542</v>
      </c>
      <c r="DD4" s="215" t="s">
        <v>542</v>
      </c>
      <c r="DE4" s="215" t="s">
        <v>542</v>
      </c>
      <c r="DF4" s="215" t="s">
        <v>542</v>
      </c>
      <c r="DG4" s="215" t="s">
        <v>542</v>
      </c>
      <c r="DH4" s="215" t="s">
        <v>542</v>
      </c>
      <c r="DI4" s="215" t="s">
        <v>542</v>
      </c>
      <c r="DJ4" s="215" t="s">
        <v>542</v>
      </c>
      <c r="DK4" s="215" t="s">
        <v>542</v>
      </c>
      <c r="DL4" s="215">
        <v>0</v>
      </c>
      <c r="DM4" s="215" t="s">
        <v>542</v>
      </c>
      <c r="DN4" s="215" t="s">
        <v>542</v>
      </c>
      <c r="DO4" s="215" t="s">
        <v>542</v>
      </c>
      <c r="DP4" s="215" t="s">
        <v>542</v>
      </c>
      <c r="DQ4" s="215" t="s">
        <v>542</v>
      </c>
      <c r="DR4" s="215" t="s">
        <v>542</v>
      </c>
      <c r="DS4" s="215">
        <v>0</v>
      </c>
      <c r="DT4" s="215" t="s">
        <v>542</v>
      </c>
      <c r="DU4" s="215" t="s">
        <v>542</v>
      </c>
      <c r="DV4" s="215" t="s">
        <v>542</v>
      </c>
      <c r="DW4" s="215" t="s">
        <v>542</v>
      </c>
      <c r="DX4" s="215" t="s">
        <v>542</v>
      </c>
      <c r="DY4" s="215">
        <v>0</v>
      </c>
      <c r="DZ4" s="215" t="s">
        <v>542</v>
      </c>
      <c r="EA4" s="215" t="s">
        <v>542</v>
      </c>
      <c r="EB4" s="215" t="s">
        <v>542</v>
      </c>
      <c r="EC4" s="215" t="s">
        <v>542</v>
      </c>
      <c r="ED4" s="215" t="s">
        <v>542</v>
      </c>
      <c r="EE4" s="215">
        <v>0</v>
      </c>
      <c r="EF4" s="215" t="s">
        <v>542</v>
      </c>
      <c r="EG4" s="215" t="s">
        <v>542</v>
      </c>
      <c r="EH4" s="215" t="s">
        <v>542</v>
      </c>
      <c r="EI4" s="215" t="s">
        <v>542</v>
      </c>
      <c r="EJ4" s="215" t="s">
        <v>542</v>
      </c>
      <c r="EK4" s="215">
        <v>0</v>
      </c>
      <c r="EL4" s="215" t="s">
        <v>542</v>
      </c>
      <c r="EM4" s="215" t="s">
        <v>542</v>
      </c>
      <c r="EN4" s="215" t="s">
        <v>542</v>
      </c>
      <c r="EO4" s="215" t="s">
        <v>542</v>
      </c>
      <c r="EP4" s="215" t="s">
        <v>542</v>
      </c>
      <c r="EQ4" s="215">
        <v>0</v>
      </c>
      <c r="ER4" s="215" t="s">
        <v>542</v>
      </c>
      <c r="ES4" s="215">
        <v>0</v>
      </c>
      <c r="ET4" s="215" t="s">
        <v>542</v>
      </c>
      <c r="EU4" s="215" t="s">
        <v>542</v>
      </c>
      <c r="EV4" s="215" t="s">
        <v>542</v>
      </c>
      <c r="EW4" s="215" t="s">
        <v>542</v>
      </c>
      <c r="EX4" s="215" t="s">
        <v>542</v>
      </c>
      <c r="EY4" s="215" t="s">
        <v>542</v>
      </c>
      <c r="EZ4" s="215">
        <v>0</v>
      </c>
      <c r="FA4" s="215" t="s">
        <v>542</v>
      </c>
      <c r="FB4" s="215" t="s">
        <v>542</v>
      </c>
      <c r="FC4" s="215" t="s">
        <v>542</v>
      </c>
      <c r="FD4" s="215" t="s">
        <v>542</v>
      </c>
      <c r="FE4" s="215" t="s">
        <v>542</v>
      </c>
      <c r="FF4" s="215">
        <v>0</v>
      </c>
      <c r="FG4" s="215" t="s">
        <v>542</v>
      </c>
      <c r="FH4" s="215" t="s">
        <v>542</v>
      </c>
      <c r="FI4" s="215" t="s">
        <v>542</v>
      </c>
      <c r="FJ4" s="215" t="s">
        <v>542</v>
      </c>
      <c r="FK4" s="215" t="s">
        <v>542</v>
      </c>
      <c r="FL4" s="215" t="s">
        <v>588</v>
      </c>
      <c r="FM4" s="215" t="s">
        <v>542</v>
      </c>
      <c r="FN4" s="215" t="s">
        <v>542</v>
      </c>
      <c r="FO4" s="215" t="s">
        <v>542</v>
      </c>
      <c r="FP4" s="215" t="s">
        <v>542</v>
      </c>
      <c r="FQ4" s="215" t="s">
        <v>542</v>
      </c>
      <c r="FR4" s="215" t="s">
        <v>588</v>
      </c>
      <c r="FS4" s="215" t="s">
        <v>542</v>
      </c>
      <c r="FT4" s="215" t="s">
        <v>542</v>
      </c>
      <c r="FU4" s="215" t="s">
        <v>542</v>
      </c>
      <c r="FV4" s="215" t="s">
        <v>542</v>
      </c>
      <c r="FW4" s="215" t="s">
        <v>542</v>
      </c>
      <c r="FX4" s="215" t="s">
        <v>588</v>
      </c>
      <c r="FY4" s="215" t="s">
        <v>542</v>
      </c>
      <c r="FZ4" s="215" t="s">
        <v>588</v>
      </c>
      <c r="GA4" s="215" t="s">
        <v>542</v>
      </c>
      <c r="GB4" s="215" t="s">
        <v>542</v>
      </c>
      <c r="GC4" s="215" t="s">
        <v>542</v>
      </c>
      <c r="GD4" s="215" t="s">
        <v>542</v>
      </c>
      <c r="GE4" s="215" t="s">
        <v>542</v>
      </c>
      <c r="GF4" s="215" t="s">
        <v>542</v>
      </c>
      <c r="GG4" s="215" t="s">
        <v>542</v>
      </c>
      <c r="GH4" s="215" t="s">
        <v>588</v>
      </c>
      <c r="GI4" s="215" t="s">
        <v>542</v>
      </c>
      <c r="GJ4" s="215">
        <v>0</v>
      </c>
    </row>
    <row r="5" spans="1:192" x14ac:dyDescent="0.2">
      <c r="A5" s="215" t="s">
        <v>544</v>
      </c>
      <c r="B5" s="215">
        <v>2024</v>
      </c>
      <c r="C5" s="215" t="s">
        <v>541</v>
      </c>
      <c r="D5" s="215" t="s">
        <v>541</v>
      </c>
      <c r="E5" s="215" t="s">
        <v>541</v>
      </c>
      <c r="F5" s="215" t="s">
        <v>541</v>
      </c>
      <c r="G5" s="215" t="s">
        <v>542</v>
      </c>
      <c r="H5" s="215" t="s">
        <v>542</v>
      </c>
      <c r="I5" s="215">
        <v>0</v>
      </c>
      <c r="J5" s="215" t="s">
        <v>541</v>
      </c>
      <c r="K5" s="215" t="s">
        <v>541</v>
      </c>
      <c r="L5" s="215" t="s">
        <v>541</v>
      </c>
      <c r="M5" s="215" t="s">
        <v>542</v>
      </c>
      <c r="N5" s="215" t="s">
        <v>542</v>
      </c>
      <c r="O5" s="215" t="s">
        <v>542</v>
      </c>
      <c r="P5" s="215" t="s">
        <v>542</v>
      </c>
      <c r="Q5" s="215" t="s">
        <v>542</v>
      </c>
      <c r="R5" s="215" t="s">
        <v>542</v>
      </c>
      <c r="S5" s="215">
        <v>0</v>
      </c>
      <c r="T5" s="215" t="s">
        <v>542</v>
      </c>
      <c r="U5" s="215">
        <v>0</v>
      </c>
      <c r="V5" s="215" t="s">
        <v>541</v>
      </c>
      <c r="W5" s="215" t="s">
        <v>541</v>
      </c>
      <c r="X5" s="215" t="s">
        <v>541</v>
      </c>
      <c r="Y5" s="215" t="s">
        <v>541</v>
      </c>
      <c r="Z5" s="215" t="s">
        <v>541</v>
      </c>
      <c r="AA5" s="215" t="s">
        <v>542</v>
      </c>
      <c r="AB5" s="215" t="s">
        <v>542</v>
      </c>
      <c r="AC5" s="215" t="s">
        <v>542</v>
      </c>
      <c r="AD5" s="215" t="s">
        <v>542</v>
      </c>
      <c r="AE5" s="215" t="s">
        <v>542</v>
      </c>
      <c r="AF5" s="215" t="s">
        <v>542</v>
      </c>
      <c r="AG5" s="215">
        <v>0</v>
      </c>
      <c r="AH5" s="215" t="s">
        <v>541</v>
      </c>
      <c r="AI5" s="215" t="s">
        <v>542</v>
      </c>
      <c r="AJ5" s="215">
        <v>0</v>
      </c>
      <c r="AK5" s="215" t="s">
        <v>542</v>
      </c>
      <c r="AL5" s="215">
        <v>0</v>
      </c>
      <c r="AM5" s="215" t="s">
        <v>542</v>
      </c>
      <c r="AN5" s="215">
        <v>0</v>
      </c>
      <c r="AO5" s="215" t="s">
        <v>542</v>
      </c>
      <c r="AP5" s="215" t="s">
        <v>542</v>
      </c>
      <c r="AQ5" s="215" t="s">
        <v>542</v>
      </c>
      <c r="AR5" s="215" t="s">
        <v>542</v>
      </c>
      <c r="AS5" s="215" t="s">
        <v>542</v>
      </c>
      <c r="AT5" s="215" t="s">
        <v>542</v>
      </c>
      <c r="AU5" s="215" t="s">
        <v>542</v>
      </c>
      <c r="AV5" s="215" t="s">
        <v>542</v>
      </c>
      <c r="AW5" s="215">
        <v>0</v>
      </c>
      <c r="AX5" s="215" t="s">
        <v>542</v>
      </c>
      <c r="AY5" s="215">
        <v>0</v>
      </c>
      <c r="AZ5" s="215" t="s">
        <v>542</v>
      </c>
      <c r="BA5" s="215" t="s">
        <v>542</v>
      </c>
      <c r="BB5" s="215" t="s">
        <v>542</v>
      </c>
      <c r="BC5" s="215" t="s">
        <v>542</v>
      </c>
      <c r="BD5" s="215">
        <v>0</v>
      </c>
      <c r="BE5" s="215" t="s">
        <v>542</v>
      </c>
      <c r="BF5" s="215" t="s">
        <v>542</v>
      </c>
      <c r="BG5" s="215">
        <v>0</v>
      </c>
      <c r="BH5" s="215" t="s">
        <v>542</v>
      </c>
      <c r="BI5" s="215" t="s">
        <v>542</v>
      </c>
      <c r="BJ5" s="215" t="s">
        <v>542</v>
      </c>
      <c r="BK5" s="215" t="s">
        <v>542</v>
      </c>
      <c r="BL5" s="215" t="s">
        <v>588</v>
      </c>
      <c r="BM5" s="215" t="s">
        <v>542</v>
      </c>
      <c r="BN5" s="215" t="s">
        <v>588</v>
      </c>
      <c r="BO5" s="215" t="s">
        <v>542</v>
      </c>
      <c r="BP5" s="215" t="s">
        <v>542</v>
      </c>
      <c r="BQ5" s="215" t="s">
        <v>542</v>
      </c>
      <c r="BR5" s="215" t="s">
        <v>542</v>
      </c>
      <c r="BS5" s="215" t="s">
        <v>542</v>
      </c>
      <c r="BT5" s="215" t="s">
        <v>542</v>
      </c>
      <c r="BU5" s="215" t="s">
        <v>542</v>
      </c>
      <c r="BV5" s="215">
        <v>0</v>
      </c>
      <c r="BW5" s="215" t="s">
        <v>541</v>
      </c>
      <c r="BX5" s="215" t="s">
        <v>541</v>
      </c>
      <c r="BY5" s="215" t="s">
        <v>541</v>
      </c>
      <c r="BZ5" s="215" t="s">
        <v>542</v>
      </c>
      <c r="CA5" s="215" t="s">
        <v>542</v>
      </c>
      <c r="CB5" s="215" t="s">
        <v>542</v>
      </c>
      <c r="CC5" s="215" t="s">
        <v>542</v>
      </c>
      <c r="CD5" s="215" t="s">
        <v>542</v>
      </c>
      <c r="CE5" s="215" t="s">
        <v>542</v>
      </c>
      <c r="CF5" s="215" t="s">
        <v>542</v>
      </c>
      <c r="CG5" s="215" t="s">
        <v>542</v>
      </c>
      <c r="CH5" s="215" t="s">
        <v>541</v>
      </c>
      <c r="CI5" s="215" t="s">
        <v>541</v>
      </c>
      <c r="CJ5" s="215" t="s">
        <v>542</v>
      </c>
      <c r="CK5" s="215" t="s">
        <v>542</v>
      </c>
      <c r="CL5" s="215" t="s">
        <v>542</v>
      </c>
      <c r="CM5" s="215" t="s">
        <v>542</v>
      </c>
      <c r="CN5" s="215" t="s">
        <v>541</v>
      </c>
      <c r="CO5" s="215" t="s">
        <v>542</v>
      </c>
      <c r="CP5" s="215" t="s">
        <v>542</v>
      </c>
      <c r="CQ5" s="215" t="s">
        <v>542</v>
      </c>
      <c r="CR5" s="215" t="s">
        <v>542</v>
      </c>
      <c r="CS5" s="215" t="s">
        <v>542</v>
      </c>
      <c r="CT5" s="215" t="s">
        <v>542</v>
      </c>
      <c r="CU5" s="215" t="s">
        <v>542</v>
      </c>
      <c r="CV5" s="215" t="s">
        <v>542</v>
      </c>
      <c r="CW5" s="215" t="s">
        <v>542</v>
      </c>
      <c r="CX5" s="215" t="s">
        <v>541</v>
      </c>
      <c r="CY5" s="215" t="s">
        <v>542</v>
      </c>
      <c r="CZ5" s="215" t="s">
        <v>541</v>
      </c>
      <c r="DA5" s="215" t="s">
        <v>541</v>
      </c>
      <c r="DB5" s="215" t="s">
        <v>542</v>
      </c>
      <c r="DC5" s="215" t="s">
        <v>542</v>
      </c>
      <c r="DD5" s="215" t="s">
        <v>542</v>
      </c>
      <c r="DE5" s="215" t="s">
        <v>542</v>
      </c>
      <c r="DF5" s="215" t="s">
        <v>542</v>
      </c>
      <c r="DG5" s="215" t="s">
        <v>542</v>
      </c>
      <c r="DH5" s="215" t="s">
        <v>542</v>
      </c>
      <c r="DI5" s="215" t="s">
        <v>542</v>
      </c>
      <c r="DJ5" s="215" t="s">
        <v>542</v>
      </c>
      <c r="DK5" s="215" t="s">
        <v>542</v>
      </c>
      <c r="DL5" s="215">
        <v>0</v>
      </c>
      <c r="DM5" s="215" t="s">
        <v>542</v>
      </c>
      <c r="DN5" s="215" t="s">
        <v>542</v>
      </c>
      <c r="DO5" s="215" t="s">
        <v>542</v>
      </c>
      <c r="DP5" s="215" t="s">
        <v>542</v>
      </c>
      <c r="DQ5" s="215" t="s">
        <v>542</v>
      </c>
      <c r="DR5" s="215" t="s">
        <v>542</v>
      </c>
      <c r="DS5" s="215">
        <v>0</v>
      </c>
      <c r="DT5" s="215" t="s">
        <v>542</v>
      </c>
      <c r="DU5" s="215" t="s">
        <v>542</v>
      </c>
      <c r="DV5" s="215" t="s">
        <v>542</v>
      </c>
      <c r="DW5" s="215" t="s">
        <v>542</v>
      </c>
      <c r="DX5" s="215" t="s">
        <v>542</v>
      </c>
      <c r="DY5" s="215">
        <v>0</v>
      </c>
      <c r="DZ5" s="215" t="s">
        <v>542</v>
      </c>
      <c r="EA5" s="215" t="s">
        <v>542</v>
      </c>
      <c r="EB5" s="215" t="s">
        <v>542</v>
      </c>
      <c r="EC5" s="215" t="s">
        <v>542</v>
      </c>
      <c r="ED5" s="215" t="s">
        <v>542</v>
      </c>
      <c r="EE5" s="215">
        <v>0</v>
      </c>
      <c r="EF5" s="215" t="s">
        <v>542</v>
      </c>
      <c r="EG5" s="215" t="s">
        <v>542</v>
      </c>
      <c r="EH5" s="215" t="s">
        <v>542</v>
      </c>
      <c r="EI5" s="215" t="s">
        <v>542</v>
      </c>
      <c r="EJ5" s="215" t="s">
        <v>542</v>
      </c>
      <c r="EK5" s="215">
        <v>0</v>
      </c>
      <c r="EL5" s="215" t="s">
        <v>542</v>
      </c>
      <c r="EM5" s="215" t="s">
        <v>542</v>
      </c>
      <c r="EN5" s="215" t="s">
        <v>542</v>
      </c>
      <c r="EO5" s="215" t="s">
        <v>542</v>
      </c>
      <c r="EP5" s="215" t="s">
        <v>542</v>
      </c>
      <c r="EQ5" s="215">
        <v>0</v>
      </c>
      <c r="ER5" s="215" t="s">
        <v>542</v>
      </c>
      <c r="ES5" s="215">
        <v>0</v>
      </c>
      <c r="ET5" s="215" t="s">
        <v>542</v>
      </c>
      <c r="EU5" s="215" t="s">
        <v>542</v>
      </c>
      <c r="EV5" s="215" t="s">
        <v>542</v>
      </c>
      <c r="EW5" s="215" t="s">
        <v>542</v>
      </c>
      <c r="EX5" s="215" t="s">
        <v>542</v>
      </c>
      <c r="EY5" s="215" t="s">
        <v>542</v>
      </c>
      <c r="EZ5" s="215">
        <v>0</v>
      </c>
      <c r="FA5" s="215" t="s">
        <v>542</v>
      </c>
      <c r="FB5" s="215" t="s">
        <v>542</v>
      </c>
      <c r="FC5" s="215" t="s">
        <v>542</v>
      </c>
      <c r="FD5" s="215" t="s">
        <v>542</v>
      </c>
      <c r="FE5" s="215" t="s">
        <v>542</v>
      </c>
      <c r="FF5" s="215">
        <v>0</v>
      </c>
      <c r="FG5" s="215" t="s">
        <v>542</v>
      </c>
      <c r="FH5" s="215" t="s">
        <v>542</v>
      </c>
      <c r="FI5" s="215" t="s">
        <v>542</v>
      </c>
      <c r="FJ5" s="215" t="s">
        <v>542</v>
      </c>
      <c r="FK5" s="215" t="s">
        <v>542</v>
      </c>
      <c r="FL5" s="215" t="s">
        <v>588</v>
      </c>
      <c r="FM5" s="215" t="s">
        <v>542</v>
      </c>
      <c r="FN5" s="215" t="s">
        <v>542</v>
      </c>
      <c r="FO5" s="215" t="s">
        <v>542</v>
      </c>
      <c r="FP5" s="215" t="s">
        <v>542</v>
      </c>
      <c r="FQ5" s="215" t="s">
        <v>542</v>
      </c>
      <c r="FR5" s="215" t="s">
        <v>588</v>
      </c>
      <c r="FS5" s="215" t="s">
        <v>542</v>
      </c>
      <c r="FT5" s="215" t="s">
        <v>542</v>
      </c>
      <c r="FU5" s="215" t="s">
        <v>542</v>
      </c>
      <c r="FV5" s="215" t="s">
        <v>542</v>
      </c>
      <c r="FW5" s="215" t="s">
        <v>542</v>
      </c>
      <c r="FX5" s="215" t="s">
        <v>588</v>
      </c>
      <c r="FY5" s="215" t="s">
        <v>542</v>
      </c>
      <c r="FZ5" s="215" t="s">
        <v>588</v>
      </c>
      <c r="GA5" s="215" t="s">
        <v>542</v>
      </c>
      <c r="GB5" s="215" t="s">
        <v>542</v>
      </c>
      <c r="GC5" s="215" t="s">
        <v>542</v>
      </c>
      <c r="GD5" s="215" t="s">
        <v>542</v>
      </c>
      <c r="GE5" s="215" t="s">
        <v>542</v>
      </c>
      <c r="GF5" s="215" t="s">
        <v>542</v>
      </c>
      <c r="GG5" s="215" t="s">
        <v>542</v>
      </c>
      <c r="GH5" s="215" t="s">
        <v>588</v>
      </c>
      <c r="GI5" s="215" t="s">
        <v>542</v>
      </c>
      <c r="GJ5" s="215" t="s">
        <v>588</v>
      </c>
    </row>
    <row r="6" spans="1:192" ht="17" customHeight="1" x14ac:dyDescent="0.2">
      <c r="A6" s="215" t="s">
        <v>545</v>
      </c>
      <c r="B6" s="215">
        <v>2024</v>
      </c>
      <c r="C6" s="215" t="s">
        <v>541</v>
      </c>
      <c r="D6" s="215" t="s">
        <v>541</v>
      </c>
      <c r="E6" s="215" t="s">
        <v>541</v>
      </c>
      <c r="F6" s="215" t="s">
        <v>541</v>
      </c>
      <c r="G6" s="215" t="s">
        <v>542</v>
      </c>
      <c r="H6" s="215" t="s">
        <v>541</v>
      </c>
      <c r="I6" s="215">
        <v>0</v>
      </c>
      <c r="J6" s="215" t="s">
        <v>541</v>
      </c>
      <c r="K6" s="215" t="s">
        <v>541</v>
      </c>
      <c r="L6" s="215" t="s">
        <v>541</v>
      </c>
      <c r="M6" s="215" t="s">
        <v>542</v>
      </c>
      <c r="N6" s="215" t="s">
        <v>542</v>
      </c>
      <c r="O6" s="215" t="s">
        <v>542</v>
      </c>
      <c r="P6" s="215" t="s">
        <v>542</v>
      </c>
      <c r="Q6" s="215" t="s">
        <v>542</v>
      </c>
      <c r="R6" s="215" t="s">
        <v>542</v>
      </c>
      <c r="S6" s="215">
        <v>0</v>
      </c>
      <c r="T6" s="215" t="s">
        <v>542</v>
      </c>
      <c r="U6" s="215">
        <v>0</v>
      </c>
      <c r="V6" s="215" t="s">
        <v>541</v>
      </c>
      <c r="W6" s="215" t="s">
        <v>541</v>
      </c>
      <c r="X6" s="215" t="s">
        <v>541</v>
      </c>
      <c r="Y6" s="215" t="s">
        <v>541</v>
      </c>
      <c r="Z6" s="215" t="s">
        <v>541</v>
      </c>
      <c r="AA6" s="215" t="s">
        <v>542</v>
      </c>
      <c r="AB6" s="215" t="s">
        <v>542</v>
      </c>
      <c r="AC6" s="215" t="s">
        <v>542</v>
      </c>
      <c r="AD6" s="215" t="s">
        <v>542</v>
      </c>
      <c r="AE6" s="215" t="s">
        <v>542</v>
      </c>
      <c r="AF6" s="215" t="s">
        <v>542</v>
      </c>
      <c r="AG6" s="215">
        <v>0</v>
      </c>
      <c r="AH6" s="215" t="s">
        <v>541</v>
      </c>
      <c r="AI6" s="215" t="s">
        <v>542</v>
      </c>
      <c r="AJ6" s="215">
        <v>0</v>
      </c>
      <c r="AK6" s="215" t="s">
        <v>542</v>
      </c>
      <c r="AL6" s="215">
        <v>0</v>
      </c>
      <c r="AM6" s="215" t="s">
        <v>541</v>
      </c>
      <c r="AN6" s="215" t="s">
        <v>546</v>
      </c>
      <c r="AO6" s="215" t="s">
        <v>542</v>
      </c>
      <c r="AP6" s="215" t="s">
        <v>542</v>
      </c>
      <c r="AQ6" s="215" t="s">
        <v>542</v>
      </c>
      <c r="AR6" s="215" t="s">
        <v>542</v>
      </c>
      <c r="AS6" s="215" t="s">
        <v>542</v>
      </c>
      <c r="AT6" s="215" t="s">
        <v>542</v>
      </c>
      <c r="AU6" s="215" t="s">
        <v>542</v>
      </c>
      <c r="AV6" s="215" t="s">
        <v>542</v>
      </c>
      <c r="AW6" s="215">
        <v>0</v>
      </c>
      <c r="AX6" s="215" t="s">
        <v>542</v>
      </c>
      <c r="AY6" s="215">
        <v>0</v>
      </c>
      <c r="AZ6" s="215" t="s">
        <v>542</v>
      </c>
      <c r="BA6" s="215" t="s">
        <v>542</v>
      </c>
      <c r="BB6" s="215" t="s">
        <v>542</v>
      </c>
      <c r="BC6" s="215" t="s">
        <v>542</v>
      </c>
      <c r="BD6" s="215">
        <v>0</v>
      </c>
      <c r="BE6" s="215" t="s">
        <v>542</v>
      </c>
      <c r="BF6" s="215" t="s">
        <v>542</v>
      </c>
      <c r="BG6" s="215">
        <v>0</v>
      </c>
      <c r="BH6" s="215" t="s">
        <v>542</v>
      </c>
      <c r="BI6" s="215" t="s">
        <v>542</v>
      </c>
      <c r="BJ6" s="215" t="s">
        <v>542</v>
      </c>
      <c r="BK6" s="215" t="s">
        <v>542</v>
      </c>
      <c r="BL6" s="215" t="s">
        <v>588</v>
      </c>
      <c r="BM6" s="215" t="s">
        <v>542</v>
      </c>
      <c r="BN6" s="215" t="s">
        <v>588</v>
      </c>
      <c r="BO6" s="215" t="s">
        <v>542</v>
      </c>
      <c r="BP6" s="215" t="s">
        <v>542</v>
      </c>
      <c r="BQ6" s="215" t="s">
        <v>542</v>
      </c>
      <c r="BR6" s="215" t="s">
        <v>542</v>
      </c>
      <c r="BS6" s="215" t="s">
        <v>542</v>
      </c>
      <c r="BT6" s="215" t="s">
        <v>542</v>
      </c>
      <c r="BU6" s="215" t="s">
        <v>542</v>
      </c>
      <c r="BV6" s="215">
        <v>0</v>
      </c>
      <c r="BW6" s="215" t="s">
        <v>541</v>
      </c>
      <c r="BX6" s="215" t="s">
        <v>541</v>
      </c>
      <c r="BY6" s="215" t="s">
        <v>541</v>
      </c>
      <c r="BZ6" s="215" t="s">
        <v>542</v>
      </c>
      <c r="CA6" s="215" t="s">
        <v>542</v>
      </c>
      <c r="CB6" s="215" t="s">
        <v>542</v>
      </c>
      <c r="CC6" s="215" t="s">
        <v>541</v>
      </c>
      <c r="CD6" s="215" t="s">
        <v>541</v>
      </c>
      <c r="CE6" s="215" t="s">
        <v>542</v>
      </c>
      <c r="CF6" s="215" t="s">
        <v>542</v>
      </c>
      <c r="CG6" s="215" t="s">
        <v>542</v>
      </c>
      <c r="CH6" s="215" t="s">
        <v>541</v>
      </c>
      <c r="CI6" s="215" t="s">
        <v>541</v>
      </c>
      <c r="CJ6" s="215" t="s">
        <v>542</v>
      </c>
      <c r="CK6" s="215" t="s">
        <v>542</v>
      </c>
      <c r="CL6" s="215" t="s">
        <v>542</v>
      </c>
      <c r="CM6" s="215" t="s">
        <v>542</v>
      </c>
      <c r="CN6" s="215" t="s">
        <v>541</v>
      </c>
      <c r="CO6" s="215" t="s">
        <v>541</v>
      </c>
      <c r="CP6" s="215" t="s">
        <v>542</v>
      </c>
      <c r="CQ6" s="215" t="s">
        <v>542</v>
      </c>
      <c r="CR6" s="215" t="s">
        <v>542</v>
      </c>
      <c r="CS6" s="215" t="s">
        <v>541</v>
      </c>
      <c r="CT6" s="215" t="s">
        <v>542</v>
      </c>
      <c r="CU6" s="215" t="s">
        <v>542</v>
      </c>
      <c r="CV6" s="215" t="s">
        <v>542</v>
      </c>
      <c r="CW6" s="215" t="s">
        <v>542</v>
      </c>
      <c r="CX6" s="215" t="s">
        <v>541</v>
      </c>
      <c r="CY6" s="215" t="s">
        <v>542</v>
      </c>
      <c r="CZ6" s="215" t="s">
        <v>541</v>
      </c>
      <c r="DA6" s="215" t="s">
        <v>541</v>
      </c>
      <c r="DB6" s="215" t="s">
        <v>542</v>
      </c>
      <c r="DC6" s="215" t="s">
        <v>542</v>
      </c>
      <c r="DD6" s="215" t="s">
        <v>542</v>
      </c>
      <c r="DE6" s="215" t="s">
        <v>542</v>
      </c>
      <c r="DF6" s="215" t="s">
        <v>542</v>
      </c>
      <c r="DG6" s="215" t="s">
        <v>542</v>
      </c>
      <c r="DH6" s="215" t="s">
        <v>542</v>
      </c>
      <c r="DI6" s="215" t="s">
        <v>542</v>
      </c>
      <c r="DJ6" s="215" t="s">
        <v>542</v>
      </c>
      <c r="DK6" s="215" t="s">
        <v>542</v>
      </c>
      <c r="DL6" s="215">
        <v>0</v>
      </c>
      <c r="DM6" s="215" t="s">
        <v>542</v>
      </c>
      <c r="DN6" s="215" t="s">
        <v>542</v>
      </c>
      <c r="DO6" s="215" t="s">
        <v>542</v>
      </c>
      <c r="DP6" s="215" t="s">
        <v>542</v>
      </c>
      <c r="DQ6" s="215" t="s">
        <v>542</v>
      </c>
      <c r="DR6" s="215" t="s">
        <v>542</v>
      </c>
      <c r="DS6" s="215">
        <v>0</v>
      </c>
      <c r="DT6" s="215" t="s">
        <v>542</v>
      </c>
      <c r="DU6" s="215" t="s">
        <v>542</v>
      </c>
      <c r="DV6" s="215" t="s">
        <v>542</v>
      </c>
      <c r="DW6" s="215" t="s">
        <v>542</v>
      </c>
      <c r="DX6" s="215" t="s">
        <v>542</v>
      </c>
      <c r="DY6" s="215">
        <v>0</v>
      </c>
      <c r="DZ6" s="215" t="s">
        <v>542</v>
      </c>
      <c r="EA6" s="215" t="s">
        <v>542</v>
      </c>
      <c r="EB6" s="215" t="s">
        <v>542</v>
      </c>
      <c r="EC6" s="215" t="s">
        <v>542</v>
      </c>
      <c r="ED6" s="215" t="s">
        <v>542</v>
      </c>
      <c r="EE6" s="215">
        <v>0</v>
      </c>
      <c r="EF6" s="215" t="s">
        <v>542</v>
      </c>
      <c r="EG6" s="215" t="s">
        <v>542</v>
      </c>
      <c r="EH6" s="215" t="s">
        <v>542</v>
      </c>
      <c r="EI6" s="215" t="s">
        <v>542</v>
      </c>
      <c r="EJ6" s="215" t="s">
        <v>542</v>
      </c>
      <c r="EK6" s="215">
        <v>0</v>
      </c>
      <c r="EL6" s="215" t="s">
        <v>542</v>
      </c>
      <c r="EM6" s="215" t="s">
        <v>542</v>
      </c>
      <c r="EN6" s="215" t="s">
        <v>542</v>
      </c>
      <c r="EO6" s="215" t="s">
        <v>542</v>
      </c>
      <c r="EP6" s="215" t="s">
        <v>542</v>
      </c>
      <c r="EQ6" s="215">
        <v>0</v>
      </c>
      <c r="ER6" s="215" t="s">
        <v>542</v>
      </c>
      <c r="ES6" s="215">
        <v>0</v>
      </c>
      <c r="ET6" s="215" t="s">
        <v>542</v>
      </c>
      <c r="EU6" s="215" t="s">
        <v>542</v>
      </c>
      <c r="EV6" s="215" t="s">
        <v>542</v>
      </c>
      <c r="EW6" s="215" t="s">
        <v>542</v>
      </c>
      <c r="EX6" s="215" t="s">
        <v>542</v>
      </c>
      <c r="EY6" s="215" t="s">
        <v>542</v>
      </c>
      <c r="EZ6" s="215">
        <v>0</v>
      </c>
      <c r="FA6" s="215" t="s">
        <v>542</v>
      </c>
      <c r="FB6" s="215" t="s">
        <v>542</v>
      </c>
      <c r="FC6" s="215" t="s">
        <v>542</v>
      </c>
      <c r="FD6" s="215" t="s">
        <v>542</v>
      </c>
      <c r="FE6" s="215" t="s">
        <v>542</v>
      </c>
      <c r="FF6" s="215">
        <v>0</v>
      </c>
      <c r="FG6" s="215" t="s">
        <v>542</v>
      </c>
      <c r="FH6" s="215" t="s">
        <v>542</v>
      </c>
      <c r="FI6" s="215" t="s">
        <v>542</v>
      </c>
      <c r="FJ6" s="215" t="s">
        <v>542</v>
      </c>
      <c r="FK6" s="215" t="s">
        <v>542</v>
      </c>
      <c r="FL6" s="215" t="s">
        <v>588</v>
      </c>
      <c r="FM6" s="215" t="s">
        <v>542</v>
      </c>
      <c r="FN6" s="215" t="s">
        <v>542</v>
      </c>
      <c r="FO6" s="215" t="s">
        <v>542</v>
      </c>
      <c r="FP6" s="215" t="s">
        <v>542</v>
      </c>
      <c r="FQ6" s="215" t="s">
        <v>542</v>
      </c>
      <c r="FR6" s="215" t="s">
        <v>588</v>
      </c>
      <c r="FS6" s="215" t="s">
        <v>542</v>
      </c>
      <c r="FT6" s="215" t="s">
        <v>542</v>
      </c>
      <c r="FU6" s="215" t="s">
        <v>542</v>
      </c>
      <c r="FV6" s="215" t="s">
        <v>542</v>
      </c>
      <c r="FW6" s="215" t="s">
        <v>542</v>
      </c>
      <c r="FX6" s="215" t="s">
        <v>588</v>
      </c>
      <c r="FY6" s="215" t="s">
        <v>542</v>
      </c>
      <c r="FZ6" s="215" t="s">
        <v>588</v>
      </c>
      <c r="GA6" s="215" t="s">
        <v>542</v>
      </c>
      <c r="GB6" s="215" t="s">
        <v>542</v>
      </c>
      <c r="GC6" s="215" t="s">
        <v>542</v>
      </c>
      <c r="GD6" s="215" t="s">
        <v>542</v>
      </c>
      <c r="GE6" s="215" t="s">
        <v>542</v>
      </c>
      <c r="GF6" s="215" t="s">
        <v>542</v>
      </c>
      <c r="GG6" s="215" t="s">
        <v>542</v>
      </c>
      <c r="GH6" s="215" t="s">
        <v>588</v>
      </c>
      <c r="GI6" s="215" t="s">
        <v>542</v>
      </c>
      <c r="GJ6" s="215" t="s">
        <v>588</v>
      </c>
    </row>
    <row r="7" spans="1:192" x14ac:dyDescent="0.2">
      <c r="A7" s="215" t="s">
        <v>547</v>
      </c>
      <c r="B7" s="215">
        <v>2024</v>
      </c>
      <c r="C7" s="215" t="s">
        <v>541</v>
      </c>
      <c r="D7" s="215" t="s">
        <v>541</v>
      </c>
      <c r="E7" s="215" t="s">
        <v>541</v>
      </c>
      <c r="F7" s="215" t="s">
        <v>542</v>
      </c>
      <c r="G7" s="215" t="s">
        <v>542</v>
      </c>
      <c r="H7" s="215" t="s">
        <v>542</v>
      </c>
      <c r="I7" s="215">
        <v>0</v>
      </c>
      <c r="J7" s="215" t="s">
        <v>542</v>
      </c>
      <c r="K7" s="215" t="s">
        <v>542</v>
      </c>
      <c r="L7" s="215" t="s">
        <v>542</v>
      </c>
      <c r="M7" s="215" t="s">
        <v>542</v>
      </c>
      <c r="N7" s="215" t="s">
        <v>542</v>
      </c>
      <c r="O7" s="215" t="s">
        <v>542</v>
      </c>
      <c r="P7" s="215" t="s">
        <v>542</v>
      </c>
      <c r="Q7" s="215" t="s">
        <v>542</v>
      </c>
      <c r="R7" s="215" t="s">
        <v>542</v>
      </c>
      <c r="S7" s="215">
        <v>0</v>
      </c>
      <c r="T7" s="215" t="s">
        <v>542</v>
      </c>
      <c r="U7" s="215">
        <v>0</v>
      </c>
      <c r="V7" s="215" t="s">
        <v>542</v>
      </c>
      <c r="W7" s="215" t="s">
        <v>542</v>
      </c>
      <c r="X7" s="215" t="s">
        <v>542</v>
      </c>
      <c r="Y7" s="215" t="s">
        <v>542</v>
      </c>
      <c r="Z7" s="215" t="s">
        <v>542</v>
      </c>
      <c r="AA7" s="215" t="s">
        <v>542</v>
      </c>
      <c r="AB7" s="215" t="s">
        <v>542</v>
      </c>
      <c r="AC7" s="215" t="s">
        <v>542</v>
      </c>
      <c r="AD7" s="215" t="s">
        <v>542</v>
      </c>
      <c r="AE7" s="215" t="s">
        <v>542</v>
      </c>
      <c r="AF7" s="215" t="s">
        <v>542</v>
      </c>
      <c r="AG7" s="215">
        <v>0</v>
      </c>
      <c r="AH7" s="215" t="s">
        <v>541</v>
      </c>
      <c r="AI7" s="215" t="s">
        <v>542</v>
      </c>
      <c r="AJ7" s="215">
        <v>0</v>
      </c>
      <c r="AK7" s="215" t="s">
        <v>542</v>
      </c>
      <c r="AL7" s="215">
        <v>0</v>
      </c>
      <c r="AM7" s="215" t="s">
        <v>541</v>
      </c>
      <c r="AN7" s="215" t="s">
        <v>546</v>
      </c>
      <c r="AO7" s="215" t="s">
        <v>542</v>
      </c>
      <c r="AP7" s="215" t="s">
        <v>542</v>
      </c>
      <c r="AQ7" s="215" t="s">
        <v>542</v>
      </c>
      <c r="AR7" s="215" t="s">
        <v>542</v>
      </c>
      <c r="AS7" s="215" t="s">
        <v>542</v>
      </c>
      <c r="AT7" s="215" t="s">
        <v>542</v>
      </c>
      <c r="AU7" s="215" t="s">
        <v>542</v>
      </c>
      <c r="AV7" s="215" t="s">
        <v>542</v>
      </c>
      <c r="AW7" s="215">
        <v>0</v>
      </c>
      <c r="AX7" s="215" t="s">
        <v>542</v>
      </c>
      <c r="AY7" s="215">
        <v>0</v>
      </c>
      <c r="AZ7" s="215" t="s">
        <v>542</v>
      </c>
      <c r="BA7" s="215" t="s">
        <v>542</v>
      </c>
      <c r="BB7" s="215" t="s">
        <v>542</v>
      </c>
      <c r="BC7" s="215" t="s">
        <v>542</v>
      </c>
      <c r="BD7" s="215">
        <v>0</v>
      </c>
      <c r="BE7" s="215" t="s">
        <v>542</v>
      </c>
      <c r="BF7" s="215" t="s">
        <v>542</v>
      </c>
      <c r="BG7" s="215">
        <v>0</v>
      </c>
      <c r="BH7" s="215" t="s">
        <v>542</v>
      </c>
      <c r="BI7" s="215" t="s">
        <v>542</v>
      </c>
      <c r="BJ7" s="215" t="s">
        <v>542</v>
      </c>
      <c r="BK7" s="215" t="s">
        <v>542</v>
      </c>
      <c r="BL7" s="215" t="s">
        <v>588</v>
      </c>
      <c r="BM7" s="215" t="s">
        <v>542</v>
      </c>
      <c r="BN7" s="215" t="s">
        <v>588</v>
      </c>
      <c r="BO7" s="215" t="s">
        <v>542</v>
      </c>
      <c r="BP7" s="215" t="s">
        <v>542</v>
      </c>
      <c r="BQ7" s="215" t="s">
        <v>542</v>
      </c>
      <c r="BR7" s="215" t="s">
        <v>542</v>
      </c>
      <c r="BS7" s="215" t="s">
        <v>542</v>
      </c>
      <c r="BT7" s="215" t="s">
        <v>542</v>
      </c>
      <c r="BU7" s="215" t="s">
        <v>542</v>
      </c>
      <c r="BV7" s="215">
        <v>0</v>
      </c>
      <c r="BW7" s="215" t="s">
        <v>541</v>
      </c>
      <c r="BX7" s="215" t="s">
        <v>542</v>
      </c>
      <c r="BY7" s="215" t="s">
        <v>541</v>
      </c>
      <c r="BZ7" s="215" t="s">
        <v>542</v>
      </c>
      <c r="CA7" s="215" t="s">
        <v>542</v>
      </c>
      <c r="CB7" s="215" t="s">
        <v>542</v>
      </c>
      <c r="CC7" s="215" t="s">
        <v>541</v>
      </c>
      <c r="CD7" s="215" t="s">
        <v>542</v>
      </c>
      <c r="CE7" s="215" t="s">
        <v>542</v>
      </c>
      <c r="CF7" s="215" t="s">
        <v>542</v>
      </c>
      <c r="CG7" s="215" t="s">
        <v>541</v>
      </c>
      <c r="CH7" s="215" t="s">
        <v>542</v>
      </c>
      <c r="CI7" s="215" t="s">
        <v>542</v>
      </c>
      <c r="CJ7" s="215" t="s">
        <v>542</v>
      </c>
      <c r="CK7" s="215" t="s">
        <v>542</v>
      </c>
      <c r="CL7" s="215" t="s">
        <v>542</v>
      </c>
      <c r="CM7" s="215" t="s">
        <v>542</v>
      </c>
      <c r="CN7" s="215" t="s">
        <v>541</v>
      </c>
      <c r="CO7" s="215" t="s">
        <v>541</v>
      </c>
      <c r="CP7" s="215" t="s">
        <v>542</v>
      </c>
      <c r="CQ7" s="215" t="s">
        <v>542</v>
      </c>
      <c r="CR7" s="215" t="s">
        <v>541</v>
      </c>
      <c r="CS7" s="215" t="s">
        <v>541</v>
      </c>
      <c r="CT7" s="215" t="s">
        <v>542</v>
      </c>
      <c r="CU7" s="215" t="s">
        <v>542</v>
      </c>
      <c r="CV7" s="215" t="s">
        <v>542</v>
      </c>
      <c r="CW7" s="215" t="s">
        <v>542</v>
      </c>
      <c r="CX7" s="215" t="s">
        <v>541</v>
      </c>
      <c r="CY7" s="215" t="s">
        <v>542</v>
      </c>
      <c r="CZ7" s="215" t="s">
        <v>542</v>
      </c>
      <c r="DA7" s="215" t="s">
        <v>542</v>
      </c>
      <c r="DB7" s="215" t="s">
        <v>542</v>
      </c>
      <c r="DC7" s="215" t="s">
        <v>542</v>
      </c>
      <c r="DD7" s="215" t="s">
        <v>542</v>
      </c>
      <c r="DE7" s="215" t="s">
        <v>542</v>
      </c>
      <c r="DF7" s="215" t="s">
        <v>542</v>
      </c>
      <c r="DG7" s="215" t="s">
        <v>542</v>
      </c>
      <c r="DH7" s="215" t="s">
        <v>542</v>
      </c>
      <c r="DI7" s="215" t="s">
        <v>542</v>
      </c>
      <c r="DJ7" s="215" t="s">
        <v>542</v>
      </c>
      <c r="DK7" s="215" t="s">
        <v>542</v>
      </c>
      <c r="DL7" s="215">
        <v>0</v>
      </c>
      <c r="DM7" s="215" t="s">
        <v>542</v>
      </c>
      <c r="DN7" s="215" t="s">
        <v>542</v>
      </c>
      <c r="DO7" s="215" t="s">
        <v>542</v>
      </c>
      <c r="DP7" s="215" t="s">
        <v>542</v>
      </c>
      <c r="DQ7" s="215" t="s">
        <v>542</v>
      </c>
      <c r="DR7" s="215" t="s">
        <v>542</v>
      </c>
      <c r="DS7" s="215">
        <v>0</v>
      </c>
      <c r="DT7" s="215" t="s">
        <v>542</v>
      </c>
      <c r="DU7" s="215" t="s">
        <v>542</v>
      </c>
      <c r="DV7" s="215" t="s">
        <v>542</v>
      </c>
      <c r="DW7" s="215" t="s">
        <v>542</v>
      </c>
      <c r="DX7" s="215" t="s">
        <v>542</v>
      </c>
      <c r="DY7" s="215">
        <v>0</v>
      </c>
      <c r="DZ7" s="215" t="s">
        <v>542</v>
      </c>
      <c r="EA7" s="215" t="s">
        <v>542</v>
      </c>
      <c r="EB7" s="215" t="s">
        <v>542</v>
      </c>
      <c r="EC7" s="215" t="s">
        <v>542</v>
      </c>
      <c r="ED7" s="215" t="s">
        <v>542</v>
      </c>
      <c r="EE7" s="215">
        <v>0</v>
      </c>
      <c r="EF7" s="215" t="s">
        <v>542</v>
      </c>
      <c r="EG7" s="215" t="s">
        <v>542</v>
      </c>
      <c r="EH7" s="215" t="s">
        <v>542</v>
      </c>
      <c r="EI7" s="215" t="s">
        <v>542</v>
      </c>
      <c r="EJ7" s="215" t="s">
        <v>542</v>
      </c>
      <c r="EK7" s="215">
        <v>0</v>
      </c>
      <c r="EL7" s="215" t="s">
        <v>542</v>
      </c>
      <c r="EM7" s="215" t="s">
        <v>542</v>
      </c>
      <c r="EN7" s="215" t="s">
        <v>542</v>
      </c>
      <c r="EO7" s="215" t="s">
        <v>542</v>
      </c>
      <c r="EP7" s="215" t="s">
        <v>542</v>
      </c>
      <c r="EQ7" s="215">
        <v>0</v>
      </c>
      <c r="ER7" s="215" t="s">
        <v>542</v>
      </c>
      <c r="ES7" s="215">
        <v>0</v>
      </c>
      <c r="ET7" s="215" t="s">
        <v>542</v>
      </c>
      <c r="EU7" s="215" t="s">
        <v>542</v>
      </c>
      <c r="EV7" s="215" t="s">
        <v>542</v>
      </c>
      <c r="EW7" s="215" t="s">
        <v>542</v>
      </c>
      <c r="EX7" s="215" t="s">
        <v>542</v>
      </c>
      <c r="EY7" s="215" t="s">
        <v>542</v>
      </c>
      <c r="EZ7" s="215">
        <v>0</v>
      </c>
      <c r="FA7" s="215" t="s">
        <v>542</v>
      </c>
      <c r="FB7" s="215" t="s">
        <v>542</v>
      </c>
      <c r="FC7" s="215" t="s">
        <v>542</v>
      </c>
      <c r="FD7" s="215" t="s">
        <v>542</v>
      </c>
      <c r="FE7" s="215" t="s">
        <v>542</v>
      </c>
      <c r="FF7" s="215">
        <v>0</v>
      </c>
      <c r="FG7" s="215" t="s">
        <v>542</v>
      </c>
      <c r="FH7" s="215" t="s">
        <v>542</v>
      </c>
      <c r="FI7" s="215" t="s">
        <v>542</v>
      </c>
      <c r="FJ7" s="215" t="s">
        <v>542</v>
      </c>
      <c r="FK7" s="215" t="s">
        <v>542</v>
      </c>
      <c r="FL7" s="215" t="s">
        <v>588</v>
      </c>
      <c r="FM7" s="215" t="s">
        <v>542</v>
      </c>
      <c r="FN7" s="215" t="s">
        <v>542</v>
      </c>
      <c r="FO7" s="215" t="s">
        <v>542</v>
      </c>
      <c r="FP7" s="215" t="s">
        <v>542</v>
      </c>
      <c r="FQ7" s="215" t="s">
        <v>542</v>
      </c>
      <c r="FR7" s="215" t="s">
        <v>588</v>
      </c>
      <c r="FS7" s="215" t="s">
        <v>542</v>
      </c>
      <c r="FT7" s="215" t="s">
        <v>542</v>
      </c>
      <c r="FU7" s="215" t="s">
        <v>542</v>
      </c>
      <c r="FV7" s="215" t="s">
        <v>542</v>
      </c>
      <c r="FW7" s="215" t="s">
        <v>542</v>
      </c>
      <c r="FX7" s="215" t="s">
        <v>588</v>
      </c>
      <c r="FY7" s="215" t="s">
        <v>542</v>
      </c>
      <c r="FZ7" s="215" t="s">
        <v>588</v>
      </c>
      <c r="GA7" s="215" t="s">
        <v>542</v>
      </c>
      <c r="GB7" s="215" t="s">
        <v>542</v>
      </c>
      <c r="GC7" s="215" t="s">
        <v>542</v>
      </c>
      <c r="GD7" s="215" t="s">
        <v>542</v>
      </c>
      <c r="GE7" s="215" t="s">
        <v>542</v>
      </c>
      <c r="GF7" s="215" t="s">
        <v>542</v>
      </c>
      <c r="GG7" s="215" t="s">
        <v>542</v>
      </c>
      <c r="GH7" s="215" t="s">
        <v>588</v>
      </c>
      <c r="GI7" s="215" t="s">
        <v>542</v>
      </c>
      <c r="GJ7" s="215" t="s">
        <v>588</v>
      </c>
    </row>
    <row r="8" spans="1:192" x14ac:dyDescent="0.2">
      <c r="A8" s="215" t="s">
        <v>548</v>
      </c>
      <c r="B8" s="215" t="s">
        <v>549</v>
      </c>
      <c r="C8" s="215" t="s">
        <v>541</v>
      </c>
      <c r="D8" s="215" t="s">
        <v>542</v>
      </c>
      <c r="E8" s="215" t="s">
        <v>542</v>
      </c>
      <c r="F8" s="215" t="s">
        <v>542</v>
      </c>
      <c r="G8" s="215" t="s">
        <v>542</v>
      </c>
      <c r="H8" s="215" t="s">
        <v>542</v>
      </c>
      <c r="I8" s="215">
        <v>0</v>
      </c>
      <c r="J8" s="215" t="s">
        <v>541</v>
      </c>
      <c r="K8" s="215" t="s">
        <v>541</v>
      </c>
      <c r="L8" s="215" t="s">
        <v>541</v>
      </c>
      <c r="M8" s="215" t="s">
        <v>542</v>
      </c>
      <c r="N8" s="215" t="s">
        <v>542</v>
      </c>
      <c r="O8" s="215" t="s">
        <v>542</v>
      </c>
      <c r="P8" s="215" t="s">
        <v>542</v>
      </c>
      <c r="Q8" s="215" t="s">
        <v>542</v>
      </c>
      <c r="R8" s="215" t="s">
        <v>542</v>
      </c>
      <c r="S8" s="215">
        <v>0</v>
      </c>
      <c r="T8" s="215" t="s">
        <v>542</v>
      </c>
      <c r="U8" s="215">
        <v>0</v>
      </c>
      <c r="V8" s="215" t="s">
        <v>542</v>
      </c>
      <c r="W8" s="215" t="s">
        <v>542</v>
      </c>
      <c r="X8" s="215" t="s">
        <v>542</v>
      </c>
      <c r="Y8" s="215" t="s">
        <v>542</v>
      </c>
      <c r="Z8" s="215" t="s">
        <v>542</v>
      </c>
      <c r="AA8" s="215" t="s">
        <v>542</v>
      </c>
      <c r="AB8" s="215" t="s">
        <v>542</v>
      </c>
      <c r="AC8" s="215" t="s">
        <v>542</v>
      </c>
      <c r="AD8" s="215" t="s">
        <v>542</v>
      </c>
      <c r="AE8" s="215" t="s">
        <v>542</v>
      </c>
      <c r="AF8" s="215" t="s">
        <v>542</v>
      </c>
      <c r="AG8" s="215">
        <v>0</v>
      </c>
      <c r="AH8" s="215" t="s">
        <v>542</v>
      </c>
      <c r="AI8" s="215" t="s">
        <v>542</v>
      </c>
      <c r="AJ8" s="215">
        <v>0</v>
      </c>
      <c r="AK8" s="215" t="s">
        <v>542</v>
      </c>
      <c r="AL8" s="215">
        <v>0</v>
      </c>
      <c r="AM8" s="215" t="s">
        <v>542</v>
      </c>
      <c r="AN8" s="215">
        <v>0</v>
      </c>
      <c r="AO8" s="215" t="s">
        <v>541</v>
      </c>
      <c r="AP8" s="215" t="s">
        <v>542</v>
      </c>
      <c r="AQ8" s="215" t="s">
        <v>541</v>
      </c>
      <c r="AR8" s="215" t="s">
        <v>542</v>
      </c>
      <c r="AS8" s="215" t="s">
        <v>542</v>
      </c>
      <c r="AT8" s="215" t="s">
        <v>542</v>
      </c>
      <c r="AU8" s="215" t="s">
        <v>542</v>
      </c>
      <c r="AV8" s="215" t="s">
        <v>542</v>
      </c>
      <c r="AW8" s="215">
        <v>0</v>
      </c>
      <c r="AX8" s="215" t="s">
        <v>542</v>
      </c>
      <c r="AY8" s="215">
        <v>0</v>
      </c>
      <c r="AZ8" s="215" t="s">
        <v>542</v>
      </c>
      <c r="BA8" s="215" t="s">
        <v>542</v>
      </c>
      <c r="BB8" s="215" t="s">
        <v>542</v>
      </c>
      <c r="BC8" s="215" t="s">
        <v>542</v>
      </c>
      <c r="BD8" s="215">
        <v>0</v>
      </c>
      <c r="BE8" s="215" t="s">
        <v>542</v>
      </c>
      <c r="BF8" s="215" t="s">
        <v>542</v>
      </c>
      <c r="BG8" s="215">
        <v>0</v>
      </c>
      <c r="BH8" s="215" t="s">
        <v>542</v>
      </c>
      <c r="BI8" s="215" t="s">
        <v>542</v>
      </c>
      <c r="BJ8" s="215" t="s">
        <v>542</v>
      </c>
      <c r="BK8" s="215" t="s">
        <v>542</v>
      </c>
      <c r="BL8" s="215" t="s">
        <v>588</v>
      </c>
      <c r="BM8" s="215" t="s">
        <v>542</v>
      </c>
      <c r="BN8" s="215" t="s">
        <v>588</v>
      </c>
      <c r="BO8" s="215" t="s">
        <v>542</v>
      </c>
      <c r="BP8" s="215" t="s">
        <v>542</v>
      </c>
      <c r="BQ8" s="215" t="s">
        <v>542</v>
      </c>
      <c r="BR8" s="215" t="s">
        <v>542</v>
      </c>
      <c r="BS8" s="215" t="s">
        <v>542</v>
      </c>
      <c r="BT8" s="215" t="s">
        <v>542</v>
      </c>
      <c r="BU8" s="215" t="s">
        <v>542</v>
      </c>
      <c r="BV8" s="215">
        <v>0</v>
      </c>
      <c r="BW8" s="215" t="s">
        <v>542</v>
      </c>
      <c r="BX8" s="215" t="s">
        <v>542</v>
      </c>
      <c r="BY8" s="215" t="s">
        <v>542</v>
      </c>
      <c r="BZ8" s="215" t="s">
        <v>542</v>
      </c>
      <c r="CA8" s="215" t="s">
        <v>542</v>
      </c>
      <c r="CB8" s="215" t="s">
        <v>542</v>
      </c>
      <c r="CC8" s="215" t="s">
        <v>542</v>
      </c>
      <c r="CD8" s="215" t="s">
        <v>542</v>
      </c>
      <c r="CE8" s="215" t="s">
        <v>542</v>
      </c>
      <c r="CF8" s="215" t="s">
        <v>542</v>
      </c>
      <c r="CG8" s="215" t="s">
        <v>542</v>
      </c>
      <c r="CH8" s="215" t="s">
        <v>542</v>
      </c>
      <c r="CI8" s="215" t="s">
        <v>542</v>
      </c>
      <c r="CJ8" s="215" t="s">
        <v>542</v>
      </c>
      <c r="CK8" s="215" t="s">
        <v>542</v>
      </c>
      <c r="CL8" s="215" t="s">
        <v>542</v>
      </c>
      <c r="CM8" s="215" t="s">
        <v>542</v>
      </c>
      <c r="CN8" s="215" t="s">
        <v>542</v>
      </c>
      <c r="CO8" s="215" t="s">
        <v>542</v>
      </c>
      <c r="CP8" s="215" t="s">
        <v>542</v>
      </c>
      <c r="CQ8" s="215" t="s">
        <v>542</v>
      </c>
      <c r="CR8" s="215" t="s">
        <v>542</v>
      </c>
      <c r="CS8" s="215" t="s">
        <v>542</v>
      </c>
      <c r="CT8" s="215" t="s">
        <v>542</v>
      </c>
      <c r="CU8" s="215" t="s">
        <v>542</v>
      </c>
      <c r="CV8" s="215" t="s">
        <v>542</v>
      </c>
      <c r="CW8" s="215" t="s">
        <v>542</v>
      </c>
      <c r="CX8" s="215" t="s">
        <v>542</v>
      </c>
      <c r="CY8" s="215" t="s">
        <v>542</v>
      </c>
      <c r="CZ8" s="215" t="s">
        <v>542</v>
      </c>
      <c r="DA8" s="215" t="s">
        <v>542</v>
      </c>
      <c r="DB8" s="215" t="s">
        <v>542</v>
      </c>
      <c r="DC8" s="215" t="s">
        <v>542</v>
      </c>
      <c r="DD8" s="215" t="s">
        <v>542</v>
      </c>
      <c r="DE8" s="215" t="s">
        <v>542</v>
      </c>
      <c r="DF8" s="215" t="s">
        <v>542</v>
      </c>
      <c r="DG8" s="215" t="s">
        <v>542</v>
      </c>
      <c r="DH8" s="215" t="s">
        <v>542</v>
      </c>
      <c r="DI8" s="215" t="s">
        <v>542</v>
      </c>
      <c r="DJ8" s="215" t="s">
        <v>542</v>
      </c>
      <c r="DK8" s="215" t="s">
        <v>542</v>
      </c>
      <c r="DL8" s="215">
        <v>0</v>
      </c>
      <c r="DM8" s="215" t="s">
        <v>542</v>
      </c>
      <c r="DN8" s="215" t="s">
        <v>542</v>
      </c>
      <c r="DO8" s="215" t="s">
        <v>542</v>
      </c>
      <c r="DP8" s="215" t="s">
        <v>542</v>
      </c>
      <c r="DQ8" s="215" t="s">
        <v>542</v>
      </c>
      <c r="DR8" s="215" t="s">
        <v>542</v>
      </c>
      <c r="DS8" s="215">
        <v>0</v>
      </c>
      <c r="DT8" s="215" t="s">
        <v>542</v>
      </c>
      <c r="DU8" s="215" t="s">
        <v>542</v>
      </c>
      <c r="DV8" s="215" t="s">
        <v>542</v>
      </c>
      <c r="DW8" s="215" t="s">
        <v>542</v>
      </c>
      <c r="DX8" s="215" t="s">
        <v>542</v>
      </c>
      <c r="DY8" s="215">
        <v>0</v>
      </c>
      <c r="DZ8" s="215" t="s">
        <v>542</v>
      </c>
      <c r="EA8" s="215" t="s">
        <v>542</v>
      </c>
      <c r="EB8" s="215" t="s">
        <v>542</v>
      </c>
      <c r="EC8" s="215" t="s">
        <v>542</v>
      </c>
      <c r="ED8" s="215" t="s">
        <v>542</v>
      </c>
      <c r="EE8" s="215">
        <v>0</v>
      </c>
      <c r="EF8" s="215" t="s">
        <v>542</v>
      </c>
      <c r="EG8" s="215" t="s">
        <v>542</v>
      </c>
      <c r="EH8" s="215" t="s">
        <v>542</v>
      </c>
      <c r="EI8" s="215" t="s">
        <v>542</v>
      </c>
      <c r="EJ8" s="215" t="s">
        <v>542</v>
      </c>
      <c r="EK8" s="215">
        <v>0</v>
      </c>
      <c r="EL8" s="215" t="s">
        <v>542</v>
      </c>
      <c r="EM8" s="215" t="s">
        <v>542</v>
      </c>
      <c r="EN8" s="215" t="s">
        <v>542</v>
      </c>
      <c r="EO8" s="215" t="s">
        <v>542</v>
      </c>
      <c r="EP8" s="215" t="s">
        <v>542</v>
      </c>
      <c r="EQ8" s="215">
        <v>0</v>
      </c>
      <c r="ER8" s="215" t="s">
        <v>542</v>
      </c>
      <c r="ES8" s="215">
        <v>0</v>
      </c>
      <c r="ET8" s="215" t="s">
        <v>542</v>
      </c>
      <c r="EU8" s="215" t="s">
        <v>542</v>
      </c>
      <c r="EV8" s="215" t="s">
        <v>542</v>
      </c>
      <c r="EW8" s="215" t="s">
        <v>542</v>
      </c>
      <c r="EX8" s="215" t="s">
        <v>542</v>
      </c>
      <c r="EY8" s="215" t="s">
        <v>542</v>
      </c>
      <c r="EZ8" s="215">
        <v>0</v>
      </c>
      <c r="FA8" s="215" t="s">
        <v>542</v>
      </c>
      <c r="FB8" s="215" t="s">
        <v>542</v>
      </c>
      <c r="FC8" s="215" t="s">
        <v>542</v>
      </c>
      <c r="FD8" s="215" t="s">
        <v>542</v>
      </c>
      <c r="FE8" s="215" t="s">
        <v>542</v>
      </c>
      <c r="FF8" s="215">
        <v>0</v>
      </c>
      <c r="FG8" s="215" t="s">
        <v>542</v>
      </c>
      <c r="FH8" s="215" t="s">
        <v>542</v>
      </c>
      <c r="FI8" s="215" t="s">
        <v>542</v>
      </c>
      <c r="FJ8" s="215" t="s">
        <v>542</v>
      </c>
      <c r="FK8" s="215" t="s">
        <v>542</v>
      </c>
      <c r="FL8" s="215" t="s">
        <v>588</v>
      </c>
      <c r="FM8" s="215" t="s">
        <v>542</v>
      </c>
      <c r="FN8" s="215" t="s">
        <v>542</v>
      </c>
      <c r="FO8" s="215" t="s">
        <v>542</v>
      </c>
      <c r="FP8" s="215" t="s">
        <v>542</v>
      </c>
      <c r="FQ8" s="215" t="s">
        <v>542</v>
      </c>
      <c r="FR8" s="215" t="s">
        <v>588</v>
      </c>
      <c r="FS8" s="215" t="s">
        <v>542</v>
      </c>
      <c r="FT8" s="215" t="s">
        <v>542</v>
      </c>
      <c r="FU8" s="215" t="s">
        <v>542</v>
      </c>
      <c r="FV8" s="215" t="s">
        <v>542</v>
      </c>
      <c r="FW8" s="215" t="s">
        <v>542</v>
      </c>
      <c r="FX8" s="215" t="s">
        <v>588</v>
      </c>
      <c r="FY8" s="215" t="s">
        <v>542</v>
      </c>
      <c r="FZ8" s="215" t="s">
        <v>588</v>
      </c>
      <c r="GA8" s="215" t="s">
        <v>542</v>
      </c>
      <c r="GB8" s="215" t="s">
        <v>542</v>
      </c>
      <c r="GC8" s="215" t="s">
        <v>542</v>
      </c>
      <c r="GD8" s="215" t="s">
        <v>542</v>
      </c>
      <c r="GE8" s="215" t="s">
        <v>542</v>
      </c>
      <c r="GF8" s="215" t="s">
        <v>542</v>
      </c>
      <c r="GG8" s="215" t="s">
        <v>542</v>
      </c>
      <c r="GH8" s="215" t="s">
        <v>588</v>
      </c>
      <c r="GI8" s="215" t="s">
        <v>542</v>
      </c>
      <c r="GJ8" s="215" t="s">
        <v>588</v>
      </c>
    </row>
    <row r="9" spans="1:192" x14ac:dyDescent="0.2">
      <c r="A9" s="215" t="s">
        <v>550</v>
      </c>
      <c r="B9" s="215" t="s">
        <v>549</v>
      </c>
      <c r="C9" s="215" t="s">
        <v>541</v>
      </c>
      <c r="D9" s="215" t="s">
        <v>542</v>
      </c>
      <c r="E9" s="215" t="s">
        <v>542</v>
      </c>
      <c r="F9" s="215" t="s">
        <v>542</v>
      </c>
      <c r="G9" s="215" t="s">
        <v>542</v>
      </c>
      <c r="H9" s="215" t="s">
        <v>542</v>
      </c>
      <c r="I9" s="215">
        <v>0</v>
      </c>
      <c r="J9" s="215" t="s">
        <v>541</v>
      </c>
      <c r="K9" s="215" t="s">
        <v>541</v>
      </c>
      <c r="L9" s="215" t="s">
        <v>542</v>
      </c>
      <c r="M9" s="215" t="s">
        <v>542</v>
      </c>
      <c r="N9" s="215" t="s">
        <v>542</v>
      </c>
      <c r="O9" s="215" t="s">
        <v>542</v>
      </c>
      <c r="P9" s="215" t="s">
        <v>542</v>
      </c>
      <c r="Q9" s="215" t="s">
        <v>542</v>
      </c>
      <c r="R9" s="215" t="s">
        <v>542</v>
      </c>
      <c r="S9" s="215">
        <v>0</v>
      </c>
      <c r="T9" s="215" t="s">
        <v>542</v>
      </c>
      <c r="U9" s="215">
        <v>0</v>
      </c>
      <c r="V9" s="215" t="s">
        <v>541</v>
      </c>
      <c r="W9" s="215" t="s">
        <v>542</v>
      </c>
      <c r="X9" s="215" t="s">
        <v>542</v>
      </c>
      <c r="Y9" s="215" t="s">
        <v>542</v>
      </c>
      <c r="Z9" s="215" t="s">
        <v>542</v>
      </c>
      <c r="AA9" s="215" t="s">
        <v>542</v>
      </c>
      <c r="AB9" s="215" t="s">
        <v>542</v>
      </c>
      <c r="AC9" s="215" t="s">
        <v>542</v>
      </c>
      <c r="AD9" s="215" t="s">
        <v>542</v>
      </c>
      <c r="AE9" s="215" t="s">
        <v>542</v>
      </c>
      <c r="AF9" s="215" t="s">
        <v>542</v>
      </c>
      <c r="AG9" s="215">
        <v>0</v>
      </c>
      <c r="AH9" s="215" t="s">
        <v>542</v>
      </c>
      <c r="AI9" s="215" t="s">
        <v>542</v>
      </c>
      <c r="AJ9" s="215">
        <v>0</v>
      </c>
      <c r="AK9" s="215" t="s">
        <v>542</v>
      </c>
      <c r="AL9" s="215">
        <v>0</v>
      </c>
      <c r="AM9" s="215" t="s">
        <v>541</v>
      </c>
      <c r="AN9" s="215" t="s">
        <v>551</v>
      </c>
      <c r="AO9" s="215" t="s">
        <v>541</v>
      </c>
      <c r="AP9" s="215" t="s">
        <v>542</v>
      </c>
      <c r="AQ9" s="215" t="s">
        <v>541</v>
      </c>
      <c r="AR9" s="215" t="s">
        <v>542</v>
      </c>
      <c r="AS9" s="215" t="s">
        <v>542</v>
      </c>
      <c r="AT9" s="215" t="s">
        <v>542</v>
      </c>
      <c r="AU9" s="215" t="s">
        <v>542</v>
      </c>
      <c r="AV9" s="215" t="s">
        <v>542</v>
      </c>
      <c r="AW9" s="215">
        <v>0</v>
      </c>
      <c r="AX9" s="215" t="s">
        <v>542</v>
      </c>
      <c r="AY9" s="215">
        <v>0</v>
      </c>
      <c r="AZ9" s="215" t="s">
        <v>542</v>
      </c>
      <c r="BA9" s="215" t="s">
        <v>542</v>
      </c>
      <c r="BB9" s="215" t="s">
        <v>542</v>
      </c>
      <c r="BC9" s="215" t="s">
        <v>542</v>
      </c>
      <c r="BD9" s="215">
        <v>0</v>
      </c>
      <c r="BE9" s="215" t="s">
        <v>542</v>
      </c>
      <c r="BF9" s="215" t="s">
        <v>542</v>
      </c>
      <c r="BG9" s="215">
        <v>0</v>
      </c>
      <c r="BH9" s="215" t="s">
        <v>542</v>
      </c>
      <c r="BI9" s="215" t="s">
        <v>542</v>
      </c>
      <c r="BJ9" s="215" t="s">
        <v>542</v>
      </c>
      <c r="BK9" s="215" t="s">
        <v>542</v>
      </c>
      <c r="BL9" s="215" t="s">
        <v>588</v>
      </c>
      <c r="BM9" s="215" t="s">
        <v>542</v>
      </c>
      <c r="BN9" s="215" t="s">
        <v>588</v>
      </c>
      <c r="BO9" s="215" t="s">
        <v>542</v>
      </c>
      <c r="BP9" s="215" t="s">
        <v>542</v>
      </c>
      <c r="BQ9" s="215" t="s">
        <v>542</v>
      </c>
      <c r="BR9" s="215" t="s">
        <v>542</v>
      </c>
      <c r="BS9" s="215" t="s">
        <v>542</v>
      </c>
      <c r="BT9" s="215" t="s">
        <v>542</v>
      </c>
      <c r="BU9" s="215" t="s">
        <v>542</v>
      </c>
      <c r="BV9" s="215">
        <v>0</v>
      </c>
      <c r="BW9" s="215" t="s">
        <v>542</v>
      </c>
      <c r="BX9" s="215" t="s">
        <v>542</v>
      </c>
      <c r="BY9" s="215" t="s">
        <v>542</v>
      </c>
      <c r="BZ9" s="215" t="s">
        <v>542</v>
      </c>
      <c r="CA9" s="215" t="s">
        <v>542</v>
      </c>
      <c r="CB9" s="215" t="s">
        <v>542</v>
      </c>
      <c r="CC9" s="215" t="s">
        <v>542</v>
      </c>
      <c r="CD9" s="215" t="s">
        <v>542</v>
      </c>
      <c r="CE9" s="215" t="s">
        <v>542</v>
      </c>
      <c r="CF9" s="215" t="s">
        <v>542</v>
      </c>
      <c r="CG9" s="215" t="s">
        <v>542</v>
      </c>
      <c r="CH9" s="215" t="s">
        <v>541</v>
      </c>
      <c r="CI9" s="215" t="s">
        <v>541</v>
      </c>
      <c r="CJ9" s="215" t="s">
        <v>542</v>
      </c>
      <c r="CK9" s="215" t="s">
        <v>542</v>
      </c>
      <c r="CL9" s="215" t="s">
        <v>542</v>
      </c>
      <c r="CM9" s="215" t="s">
        <v>542</v>
      </c>
      <c r="CN9" s="215" t="s">
        <v>542</v>
      </c>
      <c r="CO9" s="215" t="s">
        <v>542</v>
      </c>
      <c r="CP9" s="215" t="s">
        <v>542</v>
      </c>
      <c r="CQ9" s="215" t="s">
        <v>542</v>
      </c>
      <c r="CR9" s="215" t="s">
        <v>542</v>
      </c>
      <c r="CS9" s="215" t="s">
        <v>542</v>
      </c>
      <c r="CT9" s="215" t="s">
        <v>542</v>
      </c>
      <c r="CU9" s="215" t="s">
        <v>542</v>
      </c>
      <c r="CV9" s="215" t="s">
        <v>542</v>
      </c>
      <c r="CW9" s="215" t="s">
        <v>542</v>
      </c>
      <c r="CX9" s="215" t="s">
        <v>542</v>
      </c>
      <c r="CY9" s="215" t="s">
        <v>542</v>
      </c>
      <c r="CZ9" s="215" t="s">
        <v>542</v>
      </c>
      <c r="DA9" s="215" t="s">
        <v>542</v>
      </c>
      <c r="DB9" s="215" t="s">
        <v>542</v>
      </c>
      <c r="DC9" s="215" t="s">
        <v>542</v>
      </c>
      <c r="DD9" s="215" t="s">
        <v>542</v>
      </c>
      <c r="DE9" s="215" t="s">
        <v>542</v>
      </c>
      <c r="DF9" s="215" t="s">
        <v>542</v>
      </c>
      <c r="DG9" s="215" t="s">
        <v>542</v>
      </c>
      <c r="DH9" s="215" t="s">
        <v>542</v>
      </c>
      <c r="DI9" s="215" t="s">
        <v>542</v>
      </c>
      <c r="DJ9" s="215" t="s">
        <v>542</v>
      </c>
      <c r="DK9" s="215" t="s">
        <v>542</v>
      </c>
      <c r="DL9" s="215">
        <v>0</v>
      </c>
      <c r="DM9" s="215" t="s">
        <v>542</v>
      </c>
      <c r="DN9" s="215" t="s">
        <v>542</v>
      </c>
      <c r="DO9" s="215" t="s">
        <v>542</v>
      </c>
      <c r="DP9" s="215" t="s">
        <v>542</v>
      </c>
      <c r="DQ9" s="215" t="s">
        <v>542</v>
      </c>
      <c r="DR9" s="215" t="s">
        <v>542</v>
      </c>
      <c r="DS9" s="215">
        <v>0</v>
      </c>
      <c r="DT9" s="215" t="s">
        <v>542</v>
      </c>
      <c r="DU9" s="215" t="s">
        <v>542</v>
      </c>
      <c r="DV9" s="215" t="s">
        <v>542</v>
      </c>
      <c r="DW9" s="215" t="s">
        <v>542</v>
      </c>
      <c r="DX9" s="215" t="s">
        <v>542</v>
      </c>
      <c r="DY9" s="215">
        <v>0</v>
      </c>
      <c r="DZ9" s="215" t="s">
        <v>542</v>
      </c>
      <c r="EA9" s="215" t="s">
        <v>542</v>
      </c>
      <c r="EB9" s="215" t="s">
        <v>542</v>
      </c>
      <c r="EC9" s="215" t="s">
        <v>542</v>
      </c>
      <c r="ED9" s="215" t="s">
        <v>542</v>
      </c>
      <c r="EE9" s="215">
        <v>0</v>
      </c>
      <c r="EF9" s="215" t="s">
        <v>542</v>
      </c>
      <c r="EG9" s="215" t="s">
        <v>542</v>
      </c>
      <c r="EH9" s="215" t="s">
        <v>542</v>
      </c>
      <c r="EI9" s="215" t="s">
        <v>542</v>
      </c>
      <c r="EJ9" s="215" t="s">
        <v>542</v>
      </c>
      <c r="EK9" s="215">
        <v>0</v>
      </c>
      <c r="EL9" s="215" t="s">
        <v>542</v>
      </c>
      <c r="EM9" s="215" t="s">
        <v>542</v>
      </c>
      <c r="EN9" s="215" t="s">
        <v>542</v>
      </c>
      <c r="EO9" s="215" t="s">
        <v>542</v>
      </c>
      <c r="EP9" s="215" t="s">
        <v>542</v>
      </c>
      <c r="EQ9" s="215">
        <v>0</v>
      </c>
      <c r="ER9" s="215" t="s">
        <v>542</v>
      </c>
      <c r="ES9" s="215">
        <v>0</v>
      </c>
      <c r="ET9" s="215" t="s">
        <v>542</v>
      </c>
      <c r="EU9" s="215" t="s">
        <v>542</v>
      </c>
      <c r="EV9" s="215" t="s">
        <v>542</v>
      </c>
      <c r="EW9" s="215" t="s">
        <v>542</v>
      </c>
      <c r="EX9" s="215" t="s">
        <v>542</v>
      </c>
      <c r="EY9" s="215" t="s">
        <v>542</v>
      </c>
      <c r="EZ9" s="215">
        <v>0</v>
      </c>
      <c r="FA9" s="215" t="s">
        <v>542</v>
      </c>
      <c r="FB9" s="215" t="s">
        <v>542</v>
      </c>
      <c r="FC9" s="215" t="s">
        <v>542</v>
      </c>
      <c r="FD9" s="215" t="s">
        <v>542</v>
      </c>
      <c r="FE9" s="215" t="s">
        <v>542</v>
      </c>
      <c r="FF9" s="215">
        <v>0</v>
      </c>
      <c r="FG9" s="215" t="s">
        <v>542</v>
      </c>
      <c r="FH9" s="215" t="s">
        <v>542</v>
      </c>
      <c r="FI9" s="215" t="s">
        <v>542</v>
      </c>
      <c r="FJ9" s="215" t="s">
        <v>542</v>
      </c>
      <c r="FK9" s="215" t="s">
        <v>542</v>
      </c>
      <c r="FL9" s="215" t="s">
        <v>588</v>
      </c>
      <c r="FM9" s="215" t="s">
        <v>542</v>
      </c>
      <c r="FN9" s="215" t="s">
        <v>542</v>
      </c>
      <c r="FO9" s="215" t="s">
        <v>542</v>
      </c>
      <c r="FP9" s="215" t="s">
        <v>542</v>
      </c>
      <c r="FQ9" s="215" t="s">
        <v>542</v>
      </c>
      <c r="FR9" s="215" t="s">
        <v>588</v>
      </c>
      <c r="FS9" s="215" t="s">
        <v>542</v>
      </c>
      <c r="FT9" s="215" t="s">
        <v>542</v>
      </c>
      <c r="FU9" s="215" t="s">
        <v>542</v>
      </c>
      <c r="FV9" s="215" t="s">
        <v>542</v>
      </c>
      <c r="FW9" s="215" t="s">
        <v>542</v>
      </c>
      <c r="FX9" s="215" t="s">
        <v>588</v>
      </c>
      <c r="FY9" s="215" t="s">
        <v>542</v>
      </c>
      <c r="FZ9" s="215" t="s">
        <v>588</v>
      </c>
      <c r="GA9" s="215" t="s">
        <v>542</v>
      </c>
      <c r="GB9" s="215" t="s">
        <v>542</v>
      </c>
      <c r="GC9" s="215" t="s">
        <v>542</v>
      </c>
      <c r="GD9" s="215" t="s">
        <v>542</v>
      </c>
      <c r="GE9" s="215" t="s">
        <v>542</v>
      </c>
      <c r="GF9" s="215" t="s">
        <v>542</v>
      </c>
      <c r="GG9" s="215" t="s">
        <v>542</v>
      </c>
      <c r="GH9" s="215" t="s">
        <v>588</v>
      </c>
      <c r="GI9" s="215" t="s">
        <v>542</v>
      </c>
      <c r="GJ9" s="215" t="s">
        <v>588</v>
      </c>
    </row>
    <row r="10" spans="1:192" x14ac:dyDescent="0.2">
      <c r="A10" s="215" t="s">
        <v>552</v>
      </c>
      <c r="B10" s="215" t="s">
        <v>549</v>
      </c>
      <c r="C10" s="215" t="s">
        <v>541</v>
      </c>
      <c r="D10" s="215" t="s">
        <v>542</v>
      </c>
      <c r="E10" s="215" t="s">
        <v>542</v>
      </c>
      <c r="F10" s="215" t="s">
        <v>542</v>
      </c>
      <c r="G10" s="215" t="s">
        <v>542</v>
      </c>
      <c r="H10" s="215" t="s">
        <v>542</v>
      </c>
      <c r="I10" s="215">
        <v>0</v>
      </c>
      <c r="J10" s="215" t="s">
        <v>541</v>
      </c>
      <c r="K10" s="215" t="s">
        <v>541</v>
      </c>
      <c r="L10" s="215" t="s">
        <v>542</v>
      </c>
      <c r="M10" s="215" t="s">
        <v>542</v>
      </c>
      <c r="N10" s="215" t="s">
        <v>542</v>
      </c>
      <c r="O10" s="215" t="s">
        <v>542</v>
      </c>
      <c r="P10" s="215" t="s">
        <v>542</v>
      </c>
      <c r="Q10" s="215" t="s">
        <v>542</v>
      </c>
      <c r="R10" s="215" t="s">
        <v>542</v>
      </c>
      <c r="S10" s="215">
        <v>0</v>
      </c>
      <c r="T10" s="215" t="s">
        <v>542</v>
      </c>
      <c r="U10" s="215">
        <v>0</v>
      </c>
      <c r="V10" s="215" t="s">
        <v>542</v>
      </c>
      <c r="W10" s="215" t="s">
        <v>542</v>
      </c>
      <c r="X10" s="215" t="s">
        <v>542</v>
      </c>
      <c r="Y10" s="215" t="s">
        <v>542</v>
      </c>
      <c r="Z10" s="215" t="s">
        <v>542</v>
      </c>
      <c r="AA10" s="215" t="s">
        <v>542</v>
      </c>
      <c r="AB10" s="215" t="s">
        <v>542</v>
      </c>
      <c r="AC10" s="215" t="s">
        <v>542</v>
      </c>
      <c r="AD10" s="215" t="s">
        <v>542</v>
      </c>
      <c r="AE10" s="215" t="s">
        <v>542</v>
      </c>
      <c r="AF10" s="215" t="s">
        <v>542</v>
      </c>
      <c r="AG10" s="215">
        <v>0</v>
      </c>
      <c r="AH10" s="215" t="s">
        <v>542</v>
      </c>
      <c r="AI10" s="215" t="s">
        <v>542</v>
      </c>
      <c r="AJ10" s="215">
        <v>0</v>
      </c>
      <c r="AK10" s="215" t="s">
        <v>542</v>
      </c>
      <c r="AL10" s="215">
        <v>0</v>
      </c>
      <c r="AM10" s="215" t="s">
        <v>542</v>
      </c>
      <c r="AN10" s="215">
        <v>0</v>
      </c>
      <c r="AO10" s="215" t="s">
        <v>542</v>
      </c>
      <c r="AP10" s="215" t="s">
        <v>542</v>
      </c>
      <c r="AQ10" s="215" t="s">
        <v>542</v>
      </c>
      <c r="AR10" s="215" t="s">
        <v>542</v>
      </c>
      <c r="AS10" s="215" t="s">
        <v>541</v>
      </c>
      <c r="AT10" s="215" t="s">
        <v>541</v>
      </c>
      <c r="AU10" s="215" t="s">
        <v>542</v>
      </c>
      <c r="AV10" s="215" t="s">
        <v>542</v>
      </c>
      <c r="AW10" s="215">
        <v>0</v>
      </c>
      <c r="AX10" s="215" t="s">
        <v>542</v>
      </c>
      <c r="AY10" s="215">
        <v>0</v>
      </c>
      <c r="AZ10" s="215" t="s">
        <v>542</v>
      </c>
      <c r="BA10" s="215" t="s">
        <v>542</v>
      </c>
      <c r="BB10" s="215" t="s">
        <v>542</v>
      </c>
      <c r="BC10" s="215" t="s">
        <v>542</v>
      </c>
      <c r="BD10" s="215">
        <v>0</v>
      </c>
      <c r="BE10" s="215" t="s">
        <v>542</v>
      </c>
      <c r="BF10" s="215" t="s">
        <v>542</v>
      </c>
      <c r="BG10" s="215">
        <v>0</v>
      </c>
      <c r="BH10" s="215" t="s">
        <v>542</v>
      </c>
      <c r="BI10" s="215" t="s">
        <v>542</v>
      </c>
      <c r="BJ10" s="215" t="s">
        <v>542</v>
      </c>
      <c r="BK10" s="215" t="s">
        <v>542</v>
      </c>
      <c r="BL10" s="215" t="s">
        <v>588</v>
      </c>
      <c r="BM10" s="215" t="s">
        <v>542</v>
      </c>
      <c r="BN10" s="215" t="s">
        <v>588</v>
      </c>
      <c r="BO10" s="215" t="s">
        <v>542</v>
      </c>
      <c r="BP10" s="215" t="s">
        <v>542</v>
      </c>
      <c r="BQ10" s="215" t="s">
        <v>542</v>
      </c>
      <c r="BR10" s="215" t="s">
        <v>542</v>
      </c>
      <c r="BS10" s="215" t="s">
        <v>542</v>
      </c>
      <c r="BT10" s="215" t="s">
        <v>542</v>
      </c>
      <c r="BU10" s="215" t="s">
        <v>542</v>
      </c>
      <c r="BV10" s="215">
        <v>0</v>
      </c>
      <c r="BW10" s="215" t="s">
        <v>542</v>
      </c>
      <c r="BX10" s="215" t="s">
        <v>542</v>
      </c>
      <c r="BY10" s="215" t="s">
        <v>542</v>
      </c>
      <c r="BZ10" s="215" t="s">
        <v>542</v>
      </c>
      <c r="CA10" s="215" t="s">
        <v>542</v>
      </c>
      <c r="CB10" s="215" t="s">
        <v>542</v>
      </c>
      <c r="CC10" s="215" t="s">
        <v>542</v>
      </c>
      <c r="CD10" s="215" t="s">
        <v>542</v>
      </c>
      <c r="CE10" s="215" t="s">
        <v>542</v>
      </c>
      <c r="CF10" s="215" t="s">
        <v>542</v>
      </c>
      <c r="CG10" s="215" t="s">
        <v>542</v>
      </c>
      <c r="CH10" s="215" t="s">
        <v>542</v>
      </c>
      <c r="CI10" s="215" t="s">
        <v>542</v>
      </c>
      <c r="CJ10" s="215" t="s">
        <v>542</v>
      </c>
      <c r="CK10" s="215" t="s">
        <v>542</v>
      </c>
      <c r="CL10" s="215" t="s">
        <v>542</v>
      </c>
      <c r="CM10" s="215" t="s">
        <v>542</v>
      </c>
      <c r="CN10" s="215" t="s">
        <v>542</v>
      </c>
      <c r="CO10" s="215" t="s">
        <v>542</v>
      </c>
      <c r="CP10" s="215" t="s">
        <v>542</v>
      </c>
      <c r="CQ10" s="215" t="s">
        <v>542</v>
      </c>
      <c r="CR10" s="215" t="s">
        <v>542</v>
      </c>
      <c r="CS10" s="215" t="s">
        <v>542</v>
      </c>
      <c r="CT10" s="215" t="s">
        <v>542</v>
      </c>
      <c r="CU10" s="215" t="s">
        <v>542</v>
      </c>
      <c r="CV10" s="215" t="s">
        <v>542</v>
      </c>
      <c r="CW10" s="215" t="s">
        <v>542</v>
      </c>
      <c r="CX10" s="215" t="s">
        <v>542</v>
      </c>
      <c r="CY10" s="215" t="s">
        <v>542</v>
      </c>
      <c r="CZ10" s="215" t="s">
        <v>542</v>
      </c>
      <c r="DA10" s="215" t="s">
        <v>542</v>
      </c>
      <c r="DB10" s="215" t="s">
        <v>542</v>
      </c>
      <c r="DC10" s="215" t="s">
        <v>542</v>
      </c>
      <c r="DD10" s="215" t="s">
        <v>542</v>
      </c>
      <c r="DE10" s="215" t="s">
        <v>542</v>
      </c>
      <c r="DF10" s="215" t="s">
        <v>542</v>
      </c>
      <c r="DG10" s="215" t="s">
        <v>542</v>
      </c>
      <c r="DH10" s="215" t="s">
        <v>542</v>
      </c>
      <c r="DI10" s="215" t="s">
        <v>542</v>
      </c>
      <c r="DJ10" s="215" t="s">
        <v>542</v>
      </c>
      <c r="DK10" s="215" t="s">
        <v>542</v>
      </c>
      <c r="DL10" s="215">
        <v>0</v>
      </c>
      <c r="DM10" s="215" t="s">
        <v>542</v>
      </c>
      <c r="DN10" s="215" t="s">
        <v>542</v>
      </c>
      <c r="DO10" s="215" t="s">
        <v>542</v>
      </c>
      <c r="DP10" s="215" t="s">
        <v>542</v>
      </c>
      <c r="DQ10" s="215" t="s">
        <v>542</v>
      </c>
      <c r="DR10" s="215" t="s">
        <v>542</v>
      </c>
      <c r="DS10" s="215">
        <v>0</v>
      </c>
      <c r="DT10" s="215" t="s">
        <v>542</v>
      </c>
      <c r="DU10" s="215" t="s">
        <v>542</v>
      </c>
      <c r="DV10" s="215" t="s">
        <v>542</v>
      </c>
      <c r="DW10" s="215" t="s">
        <v>542</v>
      </c>
      <c r="DX10" s="215" t="s">
        <v>542</v>
      </c>
      <c r="DY10" s="215">
        <v>0</v>
      </c>
      <c r="DZ10" s="215" t="s">
        <v>542</v>
      </c>
      <c r="EA10" s="215" t="s">
        <v>542</v>
      </c>
      <c r="EB10" s="215" t="s">
        <v>542</v>
      </c>
      <c r="EC10" s="215" t="s">
        <v>542</v>
      </c>
      <c r="ED10" s="215" t="s">
        <v>542</v>
      </c>
      <c r="EE10" s="215">
        <v>0</v>
      </c>
      <c r="EF10" s="215" t="s">
        <v>542</v>
      </c>
      <c r="EG10" s="215" t="s">
        <v>542</v>
      </c>
      <c r="EH10" s="215" t="s">
        <v>542</v>
      </c>
      <c r="EI10" s="215" t="s">
        <v>542</v>
      </c>
      <c r="EJ10" s="215" t="s">
        <v>542</v>
      </c>
      <c r="EK10" s="215">
        <v>0</v>
      </c>
      <c r="EL10" s="215" t="s">
        <v>542</v>
      </c>
      <c r="EM10" s="215" t="s">
        <v>542</v>
      </c>
      <c r="EN10" s="215" t="s">
        <v>542</v>
      </c>
      <c r="EO10" s="215" t="s">
        <v>542</v>
      </c>
      <c r="EP10" s="215" t="s">
        <v>542</v>
      </c>
      <c r="EQ10" s="215">
        <v>0</v>
      </c>
      <c r="ER10" s="215" t="s">
        <v>542</v>
      </c>
      <c r="ES10" s="215">
        <v>0</v>
      </c>
      <c r="ET10" s="215" t="s">
        <v>542</v>
      </c>
      <c r="EU10" s="215" t="s">
        <v>542</v>
      </c>
      <c r="EV10" s="215" t="s">
        <v>542</v>
      </c>
      <c r="EW10" s="215" t="s">
        <v>542</v>
      </c>
      <c r="EX10" s="215" t="s">
        <v>542</v>
      </c>
      <c r="EY10" s="215" t="s">
        <v>542</v>
      </c>
      <c r="EZ10" s="215">
        <v>0</v>
      </c>
      <c r="FA10" s="215" t="s">
        <v>542</v>
      </c>
      <c r="FB10" s="215" t="s">
        <v>542</v>
      </c>
      <c r="FC10" s="215" t="s">
        <v>542</v>
      </c>
      <c r="FD10" s="215" t="s">
        <v>542</v>
      </c>
      <c r="FE10" s="215" t="s">
        <v>542</v>
      </c>
      <c r="FF10" s="215">
        <v>0</v>
      </c>
      <c r="FG10" s="215" t="s">
        <v>542</v>
      </c>
      <c r="FH10" s="215" t="s">
        <v>542</v>
      </c>
      <c r="FI10" s="215" t="s">
        <v>542</v>
      </c>
      <c r="FJ10" s="215" t="s">
        <v>542</v>
      </c>
      <c r="FK10" s="215" t="s">
        <v>542</v>
      </c>
      <c r="FL10" s="215" t="s">
        <v>588</v>
      </c>
      <c r="FM10" s="215" t="s">
        <v>542</v>
      </c>
      <c r="FN10" s="215" t="s">
        <v>542</v>
      </c>
      <c r="FO10" s="215" t="s">
        <v>542</v>
      </c>
      <c r="FP10" s="215" t="s">
        <v>542</v>
      </c>
      <c r="FQ10" s="215" t="s">
        <v>542</v>
      </c>
      <c r="FR10" s="215" t="s">
        <v>588</v>
      </c>
      <c r="FS10" s="215" t="s">
        <v>542</v>
      </c>
      <c r="FT10" s="215" t="s">
        <v>542</v>
      </c>
      <c r="FU10" s="215" t="s">
        <v>542</v>
      </c>
      <c r="FV10" s="215" t="s">
        <v>542</v>
      </c>
      <c r="FW10" s="215" t="s">
        <v>542</v>
      </c>
      <c r="FX10" s="215" t="s">
        <v>588</v>
      </c>
      <c r="FY10" s="215" t="s">
        <v>542</v>
      </c>
      <c r="FZ10" s="215" t="s">
        <v>588</v>
      </c>
      <c r="GA10" s="215" t="s">
        <v>542</v>
      </c>
      <c r="GB10" s="215" t="s">
        <v>542</v>
      </c>
      <c r="GC10" s="215" t="s">
        <v>542</v>
      </c>
      <c r="GD10" s="215" t="s">
        <v>542</v>
      </c>
      <c r="GE10" s="215" t="s">
        <v>542</v>
      </c>
      <c r="GF10" s="215" t="s">
        <v>542</v>
      </c>
      <c r="GG10" s="215" t="s">
        <v>542</v>
      </c>
      <c r="GH10" s="215" t="s">
        <v>588</v>
      </c>
      <c r="GI10" s="215" t="s">
        <v>542</v>
      </c>
      <c r="GJ10" s="215" t="s">
        <v>588</v>
      </c>
    </row>
    <row r="11" spans="1:192" x14ac:dyDescent="0.2">
      <c r="A11" s="215" t="s">
        <v>553</v>
      </c>
      <c r="B11" s="215" t="s">
        <v>549</v>
      </c>
      <c r="C11" s="215" t="s">
        <v>541</v>
      </c>
      <c r="D11" s="215" t="s">
        <v>542</v>
      </c>
      <c r="E11" s="215" t="s">
        <v>542</v>
      </c>
      <c r="F11" s="215" t="s">
        <v>542</v>
      </c>
      <c r="G11" s="215" t="s">
        <v>542</v>
      </c>
      <c r="H11" s="215" t="s">
        <v>542</v>
      </c>
      <c r="I11" s="215">
        <v>0</v>
      </c>
      <c r="J11" s="215" t="s">
        <v>541</v>
      </c>
      <c r="K11" s="215" t="s">
        <v>541</v>
      </c>
      <c r="L11" s="215" t="s">
        <v>542</v>
      </c>
      <c r="M11" s="215" t="s">
        <v>542</v>
      </c>
      <c r="N11" s="215" t="s">
        <v>542</v>
      </c>
      <c r="O11" s="215" t="s">
        <v>542</v>
      </c>
      <c r="P11" s="215" t="s">
        <v>542</v>
      </c>
      <c r="Q11" s="215" t="s">
        <v>542</v>
      </c>
      <c r="R11" s="215" t="s">
        <v>542</v>
      </c>
      <c r="S11" s="215">
        <v>0</v>
      </c>
      <c r="T11" s="215" t="s">
        <v>542</v>
      </c>
      <c r="U11" s="215">
        <v>0</v>
      </c>
      <c r="V11" s="215" t="s">
        <v>541</v>
      </c>
      <c r="W11" s="215" t="s">
        <v>541</v>
      </c>
      <c r="X11" s="215" t="s">
        <v>541</v>
      </c>
      <c r="Y11" s="215" t="s">
        <v>542</v>
      </c>
      <c r="Z11" s="215" t="s">
        <v>542</v>
      </c>
      <c r="AA11" s="215" t="s">
        <v>542</v>
      </c>
      <c r="AB11" s="215" t="s">
        <v>542</v>
      </c>
      <c r="AC11" s="215" t="s">
        <v>542</v>
      </c>
      <c r="AD11" s="215" t="s">
        <v>542</v>
      </c>
      <c r="AE11" s="215" t="s">
        <v>542</v>
      </c>
      <c r="AF11" s="215" t="s">
        <v>542</v>
      </c>
      <c r="AG11" s="215">
        <v>0</v>
      </c>
      <c r="AH11" s="215" t="s">
        <v>542</v>
      </c>
      <c r="AI11" s="215" t="s">
        <v>542</v>
      </c>
      <c r="AJ11" s="215">
        <v>0</v>
      </c>
      <c r="AK11" s="215" t="s">
        <v>542</v>
      </c>
      <c r="AL11" s="215">
        <v>0</v>
      </c>
      <c r="AM11" s="215" t="s">
        <v>542</v>
      </c>
      <c r="AN11" s="215" t="s">
        <v>554</v>
      </c>
      <c r="AO11" s="215" t="s">
        <v>541</v>
      </c>
      <c r="AP11" s="215" t="s">
        <v>542</v>
      </c>
      <c r="AQ11" s="215" t="s">
        <v>542</v>
      </c>
      <c r="AR11" s="215" t="s">
        <v>542</v>
      </c>
      <c r="AS11" s="215" t="s">
        <v>541</v>
      </c>
      <c r="AT11" s="215" t="s">
        <v>541</v>
      </c>
      <c r="AU11" s="215" t="s">
        <v>542</v>
      </c>
      <c r="AV11" s="215" t="s">
        <v>542</v>
      </c>
      <c r="AW11" s="215">
        <v>0</v>
      </c>
      <c r="AX11" s="215" t="s">
        <v>542</v>
      </c>
      <c r="AY11" s="215">
        <v>0</v>
      </c>
      <c r="AZ11" s="215" t="s">
        <v>542</v>
      </c>
      <c r="BA11" s="215" t="s">
        <v>542</v>
      </c>
      <c r="BB11" s="215" t="s">
        <v>542</v>
      </c>
      <c r="BC11" s="215" t="s">
        <v>542</v>
      </c>
      <c r="BD11" s="215">
        <v>0</v>
      </c>
      <c r="BE11" s="215" t="s">
        <v>542</v>
      </c>
      <c r="BF11" s="215" t="s">
        <v>542</v>
      </c>
      <c r="BG11" s="215">
        <v>0</v>
      </c>
      <c r="BH11" s="215" t="s">
        <v>542</v>
      </c>
      <c r="BI11" s="215" t="s">
        <v>542</v>
      </c>
      <c r="BJ11" s="215" t="s">
        <v>542</v>
      </c>
      <c r="BK11" s="215" t="s">
        <v>542</v>
      </c>
      <c r="BL11" s="215" t="s">
        <v>588</v>
      </c>
      <c r="BM11" s="215" t="s">
        <v>542</v>
      </c>
      <c r="BN11" s="215" t="s">
        <v>588</v>
      </c>
      <c r="BO11" s="215" t="s">
        <v>542</v>
      </c>
      <c r="BP11" s="215" t="s">
        <v>542</v>
      </c>
      <c r="BQ11" s="215" t="s">
        <v>542</v>
      </c>
      <c r="BR11" s="215" t="s">
        <v>542</v>
      </c>
      <c r="BS11" s="215" t="s">
        <v>542</v>
      </c>
      <c r="BT11" s="215" t="s">
        <v>542</v>
      </c>
      <c r="BU11" s="215" t="s">
        <v>542</v>
      </c>
      <c r="BV11" s="215">
        <v>0</v>
      </c>
      <c r="BW11" s="215" t="s">
        <v>542</v>
      </c>
      <c r="BX11" s="215" t="s">
        <v>542</v>
      </c>
      <c r="BY11" s="215" t="s">
        <v>542</v>
      </c>
      <c r="BZ11" s="215" t="s">
        <v>542</v>
      </c>
      <c r="CA11" s="215" t="s">
        <v>542</v>
      </c>
      <c r="CB11" s="215" t="s">
        <v>542</v>
      </c>
      <c r="CC11" s="215" t="s">
        <v>542</v>
      </c>
      <c r="CD11" s="215" t="s">
        <v>542</v>
      </c>
      <c r="CE11" s="215" t="s">
        <v>542</v>
      </c>
      <c r="CF11" s="215" t="s">
        <v>542</v>
      </c>
      <c r="CG11" s="215" t="s">
        <v>542</v>
      </c>
      <c r="CH11" s="215" t="s">
        <v>541</v>
      </c>
      <c r="CI11" s="215" t="s">
        <v>541</v>
      </c>
      <c r="CJ11" s="215" t="s">
        <v>542</v>
      </c>
      <c r="CK11" s="215" t="s">
        <v>542</v>
      </c>
      <c r="CL11" s="215" t="s">
        <v>542</v>
      </c>
      <c r="CM11" s="215" t="s">
        <v>542</v>
      </c>
      <c r="CN11" s="215" t="s">
        <v>542</v>
      </c>
      <c r="CO11" s="215" t="s">
        <v>542</v>
      </c>
      <c r="CP11" s="215" t="s">
        <v>542</v>
      </c>
      <c r="CQ11" s="215" t="s">
        <v>542</v>
      </c>
      <c r="CR11" s="215" t="s">
        <v>542</v>
      </c>
      <c r="CS11" s="215" t="s">
        <v>542</v>
      </c>
      <c r="CT11" s="215" t="s">
        <v>542</v>
      </c>
      <c r="CU11" s="215" t="s">
        <v>542</v>
      </c>
      <c r="CV11" s="215" t="s">
        <v>542</v>
      </c>
      <c r="CW11" s="215" t="s">
        <v>542</v>
      </c>
      <c r="CX11" s="215" t="s">
        <v>542</v>
      </c>
      <c r="CY11" s="215" t="s">
        <v>542</v>
      </c>
      <c r="CZ11" s="215" t="s">
        <v>542</v>
      </c>
      <c r="DA11" s="215" t="s">
        <v>542</v>
      </c>
      <c r="DB11" s="215" t="s">
        <v>542</v>
      </c>
      <c r="DC11" s="215" t="s">
        <v>542</v>
      </c>
      <c r="DD11" s="215" t="s">
        <v>542</v>
      </c>
      <c r="DE11" s="215" t="s">
        <v>542</v>
      </c>
      <c r="DF11" s="215" t="s">
        <v>542</v>
      </c>
      <c r="DG11" s="215" t="s">
        <v>542</v>
      </c>
      <c r="DH11" s="215" t="s">
        <v>542</v>
      </c>
      <c r="DI11" s="215" t="s">
        <v>542</v>
      </c>
      <c r="DJ11" s="215" t="s">
        <v>542</v>
      </c>
      <c r="DK11" s="215" t="s">
        <v>542</v>
      </c>
      <c r="DL11" s="215">
        <v>0</v>
      </c>
      <c r="DM11" s="215" t="s">
        <v>542</v>
      </c>
      <c r="DN11" s="215" t="s">
        <v>542</v>
      </c>
      <c r="DO11" s="215" t="s">
        <v>542</v>
      </c>
      <c r="DP11" s="215" t="s">
        <v>542</v>
      </c>
      <c r="DQ11" s="215" t="s">
        <v>542</v>
      </c>
      <c r="DR11" s="215" t="s">
        <v>542</v>
      </c>
      <c r="DS11" s="215">
        <v>0</v>
      </c>
      <c r="DT11" s="215" t="s">
        <v>542</v>
      </c>
      <c r="DU11" s="215" t="s">
        <v>542</v>
      </c>
      <c r="DV11" s="215" t="s">
        <v>542</v>
      </c>
      <c r="DW11" s="215" t="s">
        <v>542</v>
      </c>
      <c r="DX11" s="215" t="s">
        <v>542</v>
      </c>
      <c r="DY11" s="215">
        <v>0</v>
      </c>
      <c r="DZ11" s="215" t="s">
        <v>542</v>
      </c>
      <c r="EA11" s="215" t="s">
        <v>542</v>
      </c>
      <c r="EB11" s="215" t="s">
        <v>542</v>
      </c>
      <c r="EC11" s="215" t="s">
        <v>542</v>
      </c>
      <c r="ED11" s="215" t="s">
        <v>542</v>
      </c>
      <c r="EE11" s="215">
        <v>0</v>
      </c>
      <c r="EF11" s="215" t="s">
        <v>542</v>
      </c>
      <c r="EG11" s="215" t="s">
        <v>542</v>
      </c>
      <c r="EH11" s="215" t="s">
        <v>542</v>
      </c>
      <c r="EI11" s="215" t="s">
        <v>542</v>
      </c>
      <c r="EJ11" s="215" t="s">
        <v>542</v>
      </c>
      <c r="EK11" s="215">
        <v>0</v>
      </c>
      <c r="EL11" s="215" t="s">
        <v>542</v>
      </c>
      <c r="EM11" s="215" t="s">
        <v>542</v>
      </c>
      <c r="EN11" s="215" t="s">
        <v>542</v>
      </c>
      <c r="EO11" s="215" t="s">
        <v>542</v>
      </c>
      <c r="EP11" s="215" t="s">
        <v>542</v>
      </c>
      <c r="EQ11" s="215">
        <v>0</v>
      </c>
      <c r="ER11" s="215" t="s">
        <v>542</v>
      </c>
      <c r="ES11" s="215">
        <v>0</v>
      </c>
      <c r="ET11" s="215" t="s">
        <v>542</v>
      </c>
      <c r="EU11" s="215" t="s">
        <v>542</v>
      </c>
      <c r="EV11" s="215" t="s">
        <v>542</v>
      </c>
      <c r="EW11" s="215" t="s">
        <v>542</v>
      </c>
      <c r="EX11" s="215" t="s">
        <v>542</v>
      </c>
      <c r="EY11" s="215" t="s">
        <v>542</v>
      </c>
      <c r="EZ11" s="215">
        <v>0</v>
      </c>
      <c r="FA11" s="215" t="s">
        <v>542</v>
      </c>
      <c r="FB11" s="215" t="s">
        <v>542</v>
      </c>
      <c r="FC11" s="215" t="s">
        <v>542</v>
      </c>
      <c r="FD11" s="215" t="s">
        <v>542</v>
      </c>
      <c r="FE11" s="215" t="s">
        <v>542</v>
      </c>
      <c r="FF11" s="215">
        <v>0</v>
      </c>
      <c r="FG11" s="215" t="s">
        <v>542</v>
      </c>
      <c r="FH11" s="215" t="s">
        <v>542</v>
      </c>
      <c r="FI11" s="215" t="s">
        <v>542</v>
      </c>
      <c r="FJ11" s="215" t="s">
        <v>542</v>
      </c>
      <c r="FK11" s="215" t="s">
        <v>542</v>
      </c>
      <c r="FL11" s="215" t="s">
        <v>588</v>
      </c>
      <c r="FM11" s="215" t="s">
        <v>542</v>
      </c>
      <c r="FN11" s="215" t="s">
        <v>542</v>
      </c>
      <c r="FO11" s="215" t="s">
        <v>542</v>
      </c>
      <c r="FP11" s="215" t="s">
        <v>542</v>
      </c>
      <c r="FQ11" s="215" t="s">
        <v>542</v>
      </c>
      <c r="FR11" s="215" t="s">
        <v>588</v>
      </c>
      <c r="FS11" s="215" t="s">
        <v>542</v>
      </c>
      <c r="FT11" s="215" t="s">
        <v>542</v>
      </c>
      <c r="FU11" s="215" t="s">
        <v>542</v>
      </c>
      <c r="FV11" s="215" t="s">
        <v>542</v>
      </c>
      <c r="FW11" s="215" t="s">
        <v>542</v>
      </c>
      <c r="FX11" s="215" t="s">
        <v>588</v>
      </c>
      <c r="FY11" s="215" t="s">
        <v>542</v>
      </c>
      <c r="FZ11" s="215" t="s">
        <v>588</v>
      </c>
      <c r="GA11" s="215" t="s">
        <v>542</v>
      </c>
      <c r="GB11" s="215" t="s">
        <v>542</v>
      </c>
      <c r="GC11" s="215" t="s">
        <v>542</v>
      </c>
      <c r="GD11" s="215" t="s">
        <v>542</v>
      </c>
      <c r="GE11" s="215" t="s">
        <v>542</v>
      </c>
      <c r="GF11" s="215" t="s">
        <v>542</v>
      </c>
      <c r="GG11" s="215" t="s">
        <v>542</v>
      </c>
      <c r="GH11" s="215" t="s">
        <v>588</v>
      </c>
      <c r="GI11" s="215" t="s">
        <v>542</v>
      </c>
      <c r="GJ11" s="215" t="s">
        <v>588</v>
      </c>
    </row>
    <row r="12" spans="1:192" x14ac:dyDescent="0.2">
      <c r="A12" s="215" t="s">
        <v>555</v>
      </c>
      <c r="B12" s="215">
        <v>2024</v>
      </c>
      <c r="C12" s="215" t="s">
        <v>541</v>
      </c>
      <c r="D12" s="215" t="s">
        <v>541</v>
      </c>
      <c r="E12" s="215" t="s">
        <v>541</v>
      </c>
      <c r="F12" s="215" t="s">
        <v>541</v>
      </c>
      <c r="G12" s="215" t="s">
        <v>542</v>
      </c>
      <c r="H12" s="215" t="s">
        <v>542</v>
      </c>
      <c r="I12" s="215">
        <v>0</v>
      </c>
      <c r="J12" s="215" t="s">
        <v>541</v>
      </c>
      <c r="K12" s="215" t="s">
        <v>541</v>
      </c>
      <c r="L12" s="215" t="s">
        <v>541</v>
      </c>
      <c r="M12" s="215" t="s">
        <v>542</v>
      </c>
      <c r="N12" s="215" t="s">
        <v>542</v>
      </c>
      <c r="O12" s="215" t="s">
        <v>542</v>
      </c>
      <c r="P12" s="215" t="s">
        <v>542</v>
      </c>
      <c r="Q12" s="215" t="s">
        <v>542</v>
      </c>
      <c r="R12" s="215" t="s">
        <v>542</v>
      </c>
      <c r="S12" s="215">
        <v>0</v>
      </c>
      <c r="T12" s="215" t="s">
        <v>542</v>
      </c>
      <c r="U12" s="215">
        <v>0</v>
      </c>
      <c r="V12" s="215" t="s">
        <v>541</v>
      </c>
      <c r="W12" s="215" t="s">
        <v>541</v>
      </c>
      <c r="X12" s="215" t="s">
        <v>541</v>
      </c>
      <c r="Y12" s="215" t="s">
        <v>541</v>
      </c>
      <c r="Z12" s="215" t="s">
        <v>541</v>
      </c>
      <c r="AA12" s="215" t="s">
        <v>542</v>
      </c>
      <c r="AB12" s="215" t="s">
        <v>542</v>
      </c>
      <c r="AC12" s="215" t="s">
        <v>542</v>
      </c>
      <c r="AD12" s="215" t="s">
        <v>542</v>
      </c>
      <c r="AE12" s="215" t="s">
        <v>542</v>
      </c>
      <c r="AF12" s="215" t="s">
        <v>542</v>
      </c>
      <c r="AG12" s="215">
        <v>0</v>
      </c>
      <c r="AH12" s="215" t="s">
        <v>541</v>
      </c>
      <c r="AI12" s="215" t="s">
        <v>542</v>
      </c>
      <c r="AJ12" s="215">
        <v>0</v>
      </c>
      <c r="AK12" s="215" t="s">
        <v>542</v>
      </c>
      <c r="AL12" s="215">
        <v>0</v>
      </c>
      <c r="AM12" s="215" t="s">
        <v>542</v>
      </c>
      <c r="AN12" s="215">
        <v>0</v>
      </c>
      <c r="AO12" s="215" t="s">
        <v>542</v>
      </c>
      <c r="AP12" s="215" t="s">
        <v>542</v>
      </c>
      <c r="AQ12" s="215" t="s">
        <v>542</v>
      </c>
      <c r="AR12" s="215" t="s">
        <v>542</v>
      </c>
      <c r="AS12" s="215" t="s">
        <v>542</v>
      </c>
      <c r="AT12" s="215" t="s">
        <v>542</v>
      </c>
      <c r="AU12" s="215" t="s">
        <v>542</v>
      </c>
      <c r="AV12" s="215" t="s">
        <v>542</v>
      </c>
      <c r="AW12" s="215">
        <v>0</v>
      </c>
      <c r="AX12" s="215" t="s">
        <v>542</v>
      </c>
      <c r="AY12" s="215">
        <v>0</v>
      </c>
      <c r="AZ12" s="215" t="s">
        <v>542</v>
      </c>
      <c r="BA12" s="215" t="s">
        <v>542</v>
      </c>
      <c r="BB12" s="215" t="s">
        <v>542</v>
      </c>
      <c r="BC12" s="215" t="s">
        <v>542</v>
      </c>
      <c r="BD12" s="215">
        <v>0</v>
      </c>
      <c r="BE12" s="215" t="s">
        <v>542</v>
      </c>
      <c r="BF12" s="215" t="s">
        <v>542</v>
      </c>
      <c r="BG12" s="215">
        <v>0</v>
      </c>
      <c r="BH12" s="215" t="s">
        <v>542</v>
      </c>
      <c r="BI12" s="215" t="s">
        <v>542</v>
      </c>
      <c r="BJ12" s="215" t="s">
        <v>542</v>
      </c>
      <c r="BK12" s="215" t="s">
        <v>542</v>
      </c>
      <c r="BL12" s="215" t="s">
        <v>588</v>
      </c>
      <c r="BM12" s="215" t="s">
        <v>542</v>
      </c>
      <c r="BN12" s="215" t="s">
        <v>588</v>
      </c>
      <c r="BO12" s="215" t="s">
        <v>542</v>
      </c>
      <c r="BP12" s="215" t="s">
        <v>542</v>
      </c>
      <c r="BQ12" s="215" t="s">
        <v>542</v>
      </c>
      <c r="BR12" s="215" t="s">
        <v>542</v>
      </c>
      <c r="BS12" s="215" t="s">
        <v>542</v>
      </c>
      <c r="BT12" s="215" t="s">
        <v>542</v>
      </c>
      <c r="BU12" s="215" t="s">
        <v>542</v>
      </c>
      <c r="BV12" s="215">
        <v>0</v>
      </c>
      <c r="BW12" s="215" t="s">
        <v>541</v>
      </c>
      <c r="BX12" s="215" t="s">
        <v>541</v>
      </c>
      <c r="BY12" s="215" t="s">
        <v>541</v>
      </c>
      <c r="BZ12" s="215" t="s">
        <v>542</v>
      </c>
      <c r="CA12" s="215" t="s">
        <v>542</v>
      </c>
      <c r="CB12" s="215" t="s">
        <v>542</v>
      </c>
      <c r="CC12" s="215" t="s">
        <v>542</v>
      </c>
      <c r="CD12" s="215" t="s">
        <v>542</v>
      </c>
      <c r="CE12" s="215" t="s">
        <v>542</v>
      </c>
      <c r="CF12" s="215" t="s">
        <v>542</v>
      </c>
      <c r="CG12" s="215" t="s">
        <v>542</v>
      </c>
      <c r="CH12" s="215" t="s">
        <v>541</v>
      </c>
      <c r="CI12" s="215" t="s">
        <v>541</v>
      </c>
      <c r="CJ12" s="215" t="s">
        <v>542</v>
      </c>
      <c r="CK12" s="215" t="s">
        <v>542</v>
      </c>
      <c r="CL12" s="215" t="s">
        <v>542</v>
      </c>
      <c r="CM12" s="215" t="s">
        <v>542</v>
      </c>
      <c r="CN12" s="215" t="s">
        <v>541</v>
      </c>
      <c r="CO12" s="215" t="s">
        <v>542</v>
      </c>
      <c r="CP12" s="215" t="s">
        <v>542</v>
      </c>
      <c r="CQ12" s="215" t="s">
        <v>542</v>
      </c>
      <c r="CR12" s="215" t="s">
        <v>542</v>
      </c>
      <c r="CS12" s="215" t="s">
        <v>542</v>
      </c>
      <c r="CT12" s="215" t="s">
        <v>542</v>
      </c>
      <c r="CU12" s="215" t="s">
        <v>542</v>
      </c>
      <c r="CV12" s="215" t="s">
        <v>542</v>
      </c>
      <c r="CW12" s="215" t="s">
        <v>542</v>
      </c>
      <c r="CX12" s="215" t="s">
        <v>541</v>
      </c>
      <c r="CY12" s="215" t="s">
        <v>542</v>
      </c>
      <c r="CZ12" s="215" t="s">
        <v>541</v>
      </c>
      <c r="DA12" s="215" t="s">
        <v>541</v>
      </c>
      <c r="DB12" s="215" t="s">
        <v>542</v>
      </c>
      <c r="DC12" s="215" t="s">
        <v>542</v>
      </c>
      <c r="DD12" s="215" t="s">
        <v>542</v>
      </c>
      <c r="DE12" s="215" t="s">
        <v>542</v>
      </c>
      <c r="DF12" s="215" t="s">
        <v>542</v>
      </c>
      <c r="DG12" s="215" t="s">
        <v>542</v>
      </c>
      <c r="DH12" s="215" t="s">
        <v>542</v>
      </c>
      <c r="DI12" s="215" t="s">
        <v>542</v>
      </c>
      <c r="DJ12" s="215" t="s">
        <v>542</v>
      </c>
      <c r="DK12" s="215" t="s">
        <v>542</v>
      </c>
      <c r="DL12" s="215">
        <v>0</v>
      </c>
      <c r="DM12" s="215" t="s">
        <v>542</v>
      </c>
      <c r="DN12" s="215" t="s">
        <v>542</v>
      </c>
      <c r="DO12" s="215" t="s">
        <v>542</v>
      </c>
      <c r="DP12" s="215" t="s">
        <v>542</v>
      </c>
      <c r="DQ12" s="215" t="s">
        <v>542</v>
      </c>
      <c r="DR12" s="215" t="s">
        <v>542</v>
      </c>
      <c r="DS12" s="215">
        <v>0</v>
      </c>
      <c r="DT12" s="215" t="s">
        <v>542</v>
      </c>
      <c r="DU12" s="215" t="s">
        <v>542</v>
      </c>
      <c r="DV12" s="215" t="s">
        <v>542</v>
      </c>
      <c r="DW12" s="215" t="s">
        <v>542</v>
      </c>
      <c r="DX12" s="215" t="s">
        <v>542</v>
      </c>
      <c r="DY12" s="215">
        <v>0</v>
      </c>
      <c r="DZ12" s="215" t="s">
        <v>542</v>
      </c>
      <c r="EA12" s="215" t="s">
        <v>542</v>
      </c>
      <c r="EB12" s="215" t="s">
        <v>542</v>
      </c>
      <c r="EC12" s="215" t="s">
        <v>542</v>
      </c>
      <c r="ED12" s="215" t="s">
        <v>542</v>
      </c>
      <c r="EE12" s="215">
        <v>0</v>
      </c>
      <c r="EF12" s="215" t="s">
        <v>542</v>
      </c>
      <c r="EG12" s="215" t="s">
        <v>542</v>
      </c>
      <c r="EH12" s="215" t="s">
        <v>542</v>
      </c>
      <c r="EI12" s="215" t="s">
        <v>542</v>
      </c>
      <c r="EJ12" s="215" t="s">
        <v>542</v>
      </c>
      <c r="EK12" s="215">
        <v>0</v>
      </c>
      <c r="EL12" s="215" t="s">
        <v>542</v>
      </c>
      <c r="EM12" s="215" t="s">
        <v>542</v>
      </c>
      <c r="EN12" s="215" t="s">
        <v>542</v>
      </c>
      <c r="EO12" s="215" t="s">
        <v>542</v>
      </c>
      <c r="EP12" s="215" t="s">
        <v>542</v>
      </c>
      <c r="EQ12" s="215">
        <v>0</v>
      </c>
      <c r="ER12" s="215" t="s">
        <v>542</v>
      </c>
      <c r="ES12" s="215">
        <v>0</v>
      </c>
      <c r="ET12" s="215" t="s">
        <v>542</v>
      </c>
      <c r="EU12" s="215" t="s">
        <v>542</v>
      </c>
      <c r="EV12" s="215" t="s">
        <v>542</v>
      </c>
      <c r="EW12" s="215" t="s">
        <v>542</v>
      </c>
      <c r="EX12" s="215" t="s">
        <v>542</v>
      </c>
      <c r="EY12" s="215" t="s">
        <v>542</v>
      </c>
      <c r="EZ12" s="215">
        <v>0</v>
      </c>
      <c r="FA12" s="215" t="s">
        <v>542</v>
      </c>
      <c r="FB12" s="215" t="s">
        <v>542</v>
      </c>
      <c r="FC12" s="215" t="s">
        <v>542</v>
      </c>
      <c r="FD12" s="215" t="s">
        <v>542</v>
      </c>
      <c r="FE12" s="215" t="s">
        <v>542</v>
      </c>
      <c r="FF12" s="215">
        <v>0</v>
      </c>
      <c r="FG12" s="215" t="s">
        <v>542</v>
      </c>
      <c r="FH12" s="215" t="s">
        <v>542</v>
      </c>
      <c r="FI12" s="215" t="s">
        <v>542</v>
      </c>
      <c r="FJ12" s="215" t="s">
        <v>542</v>
      </c>
      <c r="FK12" s="215" t="s">
        <v>542</v>
      </c>
      <c r="FL12" s="215" t="s">
        <v>588</v>
      </c>
      <c r="FM12" s="215" t="s">
        <v>542</v>
      </c>
      <c r="FN12" s="215" t="s">
        <v>542</v>
      </c>
      <c r="FO12" s="215" t="s">
        <v>542</v>
      </c>
      <c r="FP12" s="215" t="s">
        <v>542</v>
      </c>
      <c r="FQ12" s="215" t="s">
        <v>542</v>
      </c>
      <c r="FR12" s="215" t="s">
        <v>588</v>
      </c>
      <c r="FS12" s="215" t="s">
        <v>542</v>
      </c>
      <c r="FT12" s="215" t="s">
        <v>542</v>
      </c>
      <c r="FU12" s="215" t="s">
        <v>542</v>
      </c>
      <c r="FV12" s="215" t="s">
        <v>542</v>
      </c>
      <c r="FW12" s="215" t="s">
        <v>542</v>
      </c>
      <c r="FX12" s="215" t="s">
        <v>588</v>
      </c>
      <c r="FY12" s="215" t="s">
        <v>542</v>
      </c>
      <c r="FZ12" s="215" t="s">
        <v>588</v>
      </c>
      <c r="GA12" s="215" t="s">
        <v>542</v>
      </c>
      <c r="GB12" s="215" t="s">
        <v>542</v>
      </c>
      <c r="GC12" s="215" t="s">
        <v>542</v>
      </c>
      <c r="GD12" s="215" t="s">
        <v>542</v>
      </c>
      <c r="GE12" s="215" t="s">
        <v>542</v>
      </c>
      <c r="GF12" s="215" t="s">
        <v>542</v>
      </c>
      <c r="GG12" s="215" t="s">
        <v>542</v>
      </c>
      <c r="GH12" s="215" t="s">
        <v>588</v>
      </c>
      <c r="GI12" s="215" t="s">
        <v>542</v>
      </c>
      <c r="GJ12" s="215" t="s">
        <v>588</v>
      </c>
    </row>
    <row r="13" spans="1:192" ht="16" customHeight="1" x14ac:dyDescent="0.2">
      <c r="A13" s="215" t="s">
        <v>556</v>
      </c>
      <c r="B13" s="215">
        <v>2024</v>
      </c>
      <c r="C13" s="215" t="s">
        <v>541</v>
      </c>
      <c r="D13" s="215" t="s">
        <v>541</v>
      </c>
      <c r="E13" s="215" t="s">
        <v>542</v>
      </c>
      <c r="F13" s="215" t="s">
        <v>542</v>
      </c>
      <c r="G13" s="215" t="s">
        <v>542</v>
      </c>
      <c r="H13" s="215" t="s">
        <v>542</v>
      </c>
      <c r="I13" s="215">
        <v>0</v>
      </c>
      <c r="J13" s="215" t="s">
        <v>541</v>
      </c>
      <c r="K13" s="215" t="s">
        <v>541</v>
      </c>
      <c r="L13" s="215" t="s">
        <v>541</v>
      </c>
      <c r="M13" s="215" t="s">
        <v>542</v>
      </c>
      <c r="N13" s="215" t="s">
        <v>542</v>
      </c>
      <c r="O13" s="215" t="s">
        <v>542</v>
      </c>
      <c r="P13" s="215" t="s">
        <v>542</v>
      </c>
      <c r="Q13" s="215" t="s">
        <v>542</v>
      </c>
      <c r="R13" s="215" t="s">
        <v>542</v>
      </c>
      <c r="S13" s="215">
        <v>0</v>
      </c>
      <c r="T13" s="215" t="s">
        <v>542</v>
      </c>
      <c r="U13" s="215">
        <v>0</v>
      </c>
      <c r="V13" s="215" t="s">
        <v>541</v>
      </c>
      <c r="W13" s="215" t="s">
        <v>541</v>
      </c>
      <c r="X13" s="215" t="s">
        <v>541</v>
      </c>
      <c r="Y13" s="215" t="s">
        <v>542</v>
      </c>
      <c r="Z13" s="215" t="s">
        <v>542</v>
      </c>
      <c r="AA13" s="215" t="s">
        <v>542</v>
      </c>
      <c r="AB13" s="215" t="s">
        <v>542</v>
      </c>
      <c r="AC13" s="215" t="s">
        <v>542</v>
      </c>
      <c r="AD13" s="215" t="s">
        <v>542</v>
      </c>
      <c r="AE13" s="215" t="s">
        <v>542</v>
      </c>
      <c r="AF13" s="215" t="s">
        <v>542</v>
      </c>
      <c r="AG13" s="215">
        <v>0</v>
      </c>
      <c r="AH13" s="215" t="s">
        <v>542</v>
      </c>
      <c r="AI13" s="215" t="s">
        <v>542</v>
      </c>
      <c r="AJ13" s="215">
        <v>0</v>
      </c>
      <c r="AK13" s="215" t="s">
        <v>542</v>
      </c>
      <c r="AL13" s="215">
        <v>0</v>
      </c>
      <c r="AM13" s="215" t="s">
        <v>541</v>
      </c>
      <c r="AN13" s="215" t="s">
        <v>557</v>
      </c>
      <c r="AO13" s="215" t="s">
        <v>542</v>
      </c>
      <c r="AP13" s="215" t="s">
        <v>542</v>
      </c>
      <c r="AQ13" s="215" t="s">
        <v>542</v>
      </c>
      <c r="AR13" s="215" t="s">
        <v>542</v>
      </c>
      <c r="AS13" s="215" t="s">
        <v>542</v>
      </c>
      <c r="AT13" s="215" t="s">
        <v>542</v>
      </c>
      <c r="AU13" s="215" t="s">
        <v>542</v>
      </c>
      <c r="AV13" s="215" t="s">
        <v>542</v>
      </c>
      <c r="AW13" s="215">
        <v>0</v>
      </c>
      <c r="AX13" s="215" t="s">
        <v>542</v>
      </c>
      <c r="AY13" s="215">
        <v>0</v>
      </c>
      <c r="AZ13" s="215" t="s">
        <v>542</v>
      </c>
      <c r="BA13" s="215" t="s">
        <v>542</v>
      </c>
      <c r="BB13" s="215" t="s">
        <v>542</v>
      </c>
      <c r="BC13" s="215" t="s">
        <v>542</v>
      </c>
      <c r="BD13" s="215">
        <v>0</v>
      </c>
      <c r="BE13" s="215" t="s">
        <v>542</v>
      </c>
      <c r="BF13" s="215" t="s">
        <v>542</v>
      </c>
      <c r="BG13" s="215">
        <v>0</v>
      </c>
      <c r="BH13" s="215" t="s">
        <v>542</v>
      </c>
      <c r="BI13" s="215" t="s">
        <v>542</v>
      </c>
      <c r="BJ13" s="215" t="s">
        <v>542</v>
      </c>
      <c r="BK13" s="215" t="s">
        <v>542</v>
      </c>
      <c r="BL13" s="215" t="s">
        <v>588</v>
      </c>
      <c r="BM13" s="215" t="s">
        <v>542</v>
      </c>
      <c r="BN13" s="215" t="s">
        <v>588</v>
      </c>
      <c r="BO13" s="215" t="s">
        <v>542</v>
      </c>
      <c r="BP13" s="215" t="s">
        <v>542</v>
      </c>
      <c r="BQ13" s="215" t="s">
        <v>542</v>
      </c>
      <c r="BR13" s="215" t="s">
        <v>542</v>
      </c>
      <c r="BS13" s="215" t="s">
        <v>542</v>
      </c>
      <c r="BT13" s="215" t="s">
        <v>542</v>
      </c>
      <c r="BU13" s="215" t="s">
        <v>542</v>
      </c>
      <c r="BV13" s="215">
        <v>0</v>
      </c>
      <c r="BW13" s="215" t="s">
        <v>542</v>
      </c>
      <c r="BX13" s="215" t="s">
        <v>542</v>
      </c>
      <c r="BY13" s="215" t="s">
        <v>542</v>
      </c>
      <c r="BZ13" s="215" t="s">
        <v>542</v>
      </c>
      <c r="CA13" s="215" t="s">
        <v>542</v>
      </c>
      <c r="CB13" s="215" t="s">
        <v>542</v>
      </c>
      <c r="CC13" s="215" t="s">
        <v>542</v>
      </c>
      <c r="CD13" s="215" t="s">
        <v>542</v>
      </c>
      <c r="CE13" s="215" t="s">
        <v>542</v>
      </c>
      <c r="CF13" s="215" t="s">
        <v>542</v>
      </c>
      <c r="CG13" s="215" t="s">
        <v>542</v>
      </c>
      <c r="CH13" s="215" t="s">
        <v>542</v>
      </c>
      <c r="CI13" s="215" t="s">
        <v>542</v>
      </c>
      <c r="CJ13" s="215" t="s">
        <v>542</v>
      </c>
      <c r="CK13" s="215" t="s">
        <v>542</v>
      </c>
      <c r="CL13" s="215" t="s">
        <v>542</v>
      </c>
      <c r="CM13" s="215" t="s">
        <v>542</v>
      </c>
      <c r="CN13" s="215" t="s">
        <v>542</v>
      </c>
      <c r="CO13" s="215" t="s">
        <v>542</v>
      </c>
      <c r="CP13" s="215" t="s">
        <v>542</v>
      </c>
      <c r="CQ13" s="215" t="s">
        <v>542</v>
      </c>
      <c r="CR13" s="215" t="s">
        <v>542</v>
      </c>
      <c r="CS13" s="215" t="s">
        <v>542</v>
      </c>
      <c r="CT13" s="215" t="s">
        <v>542</v>
      </c>
      <c r="CU13" s="215" t="s">
        <v>542</v>
      </c>
      <c r="CV13" s="215" t="s">
        <v>542</v>
      </c>
      <c r="CW13" s="215" t="s">
        <v>542</v>
      </c>
      <c r="CX13" s="215" t="s">
        <v>542</v>
      </c>
      <c r="CY13" s="215" t="s">
        <v>542</v>
      </c>
      <c r="CZ13" s="215" t="s">
        <v>542</v>
      </c>
      <c r="DA13" s="215" t="s">
        <v>542</v>
      </c>
      <c r="DB13" s="215" t="s">
        <v>542</v>
      </c>
      <c r="DC13" s="215" t="s">
        <v>542</v>
      </c>
      <c r="DD13" s="215" t="s">
        <v>542</v>
      </c>
      <c r="DE13" s="215" t="s">
        <v>542</v>
      </c>
      <c r="DF13" s="215" t="s">
        <v>542</v>
      </c>
      <c r="DG13" s="215" t="s">
        <v>542</v>
      </c>
      <c r="DH13" s="215" t="s">
        <v>542</v>
      </c>
      <c r="DI13" s="215" t="s">
        <v>542</v>
      </c>
      <c r="DJ13" s="215" t="s">
        <v>542</v>
      </c>
      <c r="DK13" s="215" t="s">
        <v>542</v>
      </c>
      <c r="DL13" s="215">
        <v>0</v>
      </c>
      <c r="DM13" s="215" t="s">
        <v>542</v>
      </c>
      <c r="DN13" s="215" t="s">
        <v>542</v>
      </c>
      <c r="DO13" s="215" t="s">
        <v>542</v>
      </c>
      <c r="DP13" s="215" t="s">
        <v>542</v>
      </c>
      <c r="DQ13" s="215" t="s">
        <v>542</v>
      </c>
      <c r="DR13" s="215" t="s">
        <v>542</v>
      </c>
      <c r="DS13" s="215">
        <v>0</v>
      </c>
      <c r="DT13" s="215" t="s">
        <v>542</v>
      </c>
      <c r="DU13" s="215" t="s">
        <v>542</v>
      </c>
      <c r="DV13" s="215" t="s">
        <v>542</v>
      </c>
      <c r="DW13" s="215" t="s">
        <v>542</v>
      </c>
      <c r="DX13" s="215" t="s">
        <v>542</v>
      </c>
      <c r="DY13" s="215">
        <v>0</v>
      </c>
      <c r="DZ13" s="215" t="s">
        <v>542</v>
      </c>
      <c r="EA13" s="215" t="s">
        <v>542</v>
      </c>
      <c r="EB13" s="215" t="s">
        <v>542</v>
      </c>
      <c r="EC13" s="215" t="s">
        <v>542</v>
      </c>
      <c r="ED13" s="215" t="s">
        <v>542</v>
      </c>
      <c r="EE13" s="215">
        <v>0</v>
      </c>
      <c r="EF13" s="215" t="s">
        <v>542</v>
      </c>
      <c r="EG13" s="215" t="s">
        <v>542</v>
      </c>
      <c r="EH13" s="215" t="s">
        <v>542</v>
      </c>
      <c r="EI13" s="215" t="s">
        <v>542</v>
      </c>
      <c r="EJ13" s="215" t="s">
        <v>542</v>
      </c>
      <c r="EK13" s="215">
        <v>0</v>
      </c>
      <c r="EL13" s="215" t="s">
        <v>542</v>
      </c>
      <c r="EM13" s="215" t="s">
        <v>542</v>
      </c>
      <c r="EN13" s="215" t="s">
        <v>542</v>
      </c>
      <c r="EO13" s="215" t="s">
        <v>542</v>
      </c>
      <c r="EP13" s="215" t="s">
        <v>542</v>
      </c>
      <c r="EQ13" s="215">
        <v>0</v>
      </c>
      <c r="ER13" s="215" t="s">
        <v>542</v>
      </c>
      <c r="ES13" s="215">
        <v>0</v>
      </c>
      <c r="ET13" s="215" t="s">
        <v>542</v>
      </c>
      <c r="EU13" s="215" t="s">
        <v>542</v>
      </c>
      <c r="EV13" s="215" t="s">
        <v>542</v>
      </c>
      <c r="EW13" s="215" t="s">
        <v>542</v>
      </c>
      <c r="EX13" s="215" t="s">
        <v>542</v>
      </c>
      <c r="EY13" s="215" t="s">
        <v>542</v>
      </c>
      <c r="EZ13" s="215">
        <v>0</v>
      </c>
      <c r="FA13" s="215" t="s">
        <v>542</v>
      </c>
      <c r="FB13" s="215" t="s">
        <v>542</v>
      </c>
      <c r="FC13" s="215" t="s">
        <v>542</v>
      </c>
      <c r="FD13" s="215" t="s">
        <v>542</v>
      </c>
      <c r="FE13" s="215" t="s">
        <v>542</v>
      </c>
      <c r="FF13" s="215">
        <v>0</v>
      </c>
      <c r="FG13" s="215" t="s">
        <v>542</v>
      </c>
      <c r="FH13" s="215" t="s">
        <v>542</v>
      </c>
      <c r="FI13" s="215" t="s">
        <v>542</v>
      </c>
      <c r="FJ13" s="215" t="s">
        <v>542</v>
      </c>
      <c r="FK13" s="215" t="s">
        <v>542</v>
      </c>
      <c r="FL13" s="215" t="s">
        <v>588</v>
      </c>
      <c r="FM13" s="215" t="s">
        <v>542</v>
      </c>
      <c r="FN13" s="215" t="s">
        <v>542</v>
      </c>
      <c r="FO13" s="215" t="s">
        <v>542</v>
      </c>
      <c r="FP13" s="215" t="s">
        <v>542</v>
      </c>
      <c r="FQ13" s="215" t="s">
        <v>542</v>
      </c>
      <c r="FR13" s="215" t="s">
        <v>588</v>
      </c>
      <c r="FS13" s="215" t="s">
        <v>542</v>
      </c>
      <c r="FT13" s="215" t="s">
        <v>542</v>
      </c>
      <c r="FU13" s="215" t="s">
        <v>542</v>
      </c>
      <c r="FV13" s="215" t="s">
        <v>542</v>
      </c>
      <c r="FW13" s="215" t="s">
        <v>542</v>
      </c>
      <c r="FX13" s="215" t="s">
        <v>588</v>
      </c>
      <c r="FY13" s="215" t="s">
        <v>542</v>
      </c>
      <c r="FZ13" s="215" t="s">
        <v>588</v>
      </c>
      <c r="GA13" s="215" t="s">
        <v>542</v>
      </c>
      <c r="GB13" s="215" t="s">
        <v>542</v>
      </c>
      <c r="GC13" s="215" t="s">
        <v>542</v>
      </c>
      <c r="GD13" s="215" t="s">
        <v>542</v>
      </c>
      <c r="GE13" s="215" t="s">
        <v>542</v>
      </c>
      <c r="GF13" s="215" t="s">
        <v>542</v>
      </c>
      <c r="GG13" s="215" t="s">
        <v>542</v>
      </c>
      <c r="GH13" s="215" t="s">
        <v>588</v>
      </c>
      <c r="GI13" s="215" t="s">
        <v>542</v>
      </c>
      <c r="GJ13" s="215" t="s">
        <v>588</v>
      </c>
    </row>
    <row r="14" spans="1:192" x14ac:dyDescent="0.2">
      <c r="A14" s="215" t="s">
        <v>558</v>
      </c>
      <c r="B14" s="215">
        <v>2025</v>
      </c>
      <c r="C14" s="215" t="s">
        <v>541</v>
      </c>
      <c r="D14" s="215" t="s">
        <v>542</v>
      </c>
      <c r="E14" s="215" t="s">
        <v>542</v>
      </c>
      <c r="F14" s="215" t="s">
        <v>542</v>
      </c>
      <c r="G14" s="215" t="s">
        <v>542</v>
      </c>
      <c r="H14" s="215" t="s">
        <v>542</v>
      </c>
      <c r="I14" s="215">
        <v>0</v>
      </c>
      <c r="J14" s="215" t="s">
        <v>542</v>
      </c>
      <c r="K14" s="215" t="s">
        <v>542</v>
      </c>
      <c r="L14" s="215" t="s">
        <v>542</v>
      </c>
      <c r="M14" s="215" t="s">
        <v>542</v>
      </c>
      <c r="N14" s="215" t="s">
        <v>542</v>
      </c>
      <c r="O14" s="215" t="s">
        <v>542</v>
      </c>
      <c r="P14" s="215" t="s">
        <v>542</v>
      </c>
      <c r="Q14" s="215" t="s">
        <v>542</v>
      </c>
      <c r="R14" s="215" t="s">
        <v>542</v>
      </c>
      <c r="S14" s="215">
        <v>0</v>
      </c>
      <c r="T14" s="215" t="s">
        <v>542</v>
      </c>
      <c r="U14" s="215">
        <v>0</v>
      </c>
      <c r="V14" s="215" t="s">
        <v>541</v>
      </c>
      <c r="W14" s="215" t="s">
        <v>541</v>
      </c>
      <c r="X14" s="215" t="s">
        <v>541</v>
      </c>
      <c r="Y14" s="215" t="s">
        <v>541</v>
      </c>
      <c r="Z14" s="215" t="s">
        <v>541</v>
      </c>
      <c r="AA14" s="215" t="s">
        <v>541</v>
      </c>
      <c r="AB14" s="215" t="s">
        <v>542</v>
      </c>
      <c r="AC14" s="215" t="s">
        <v>542</v>
      </c>
      <c r="AD14" s="215" t="s">
        <v>542</v>
      </c>
      <c r="AE14" s="215" t="s">
        <v>542</v>
      </c>
      <c r="AF14" s="215" t="s">
        <v>542</v>
      </c>
      <c r="AG14" s="215">
        <v>0</v>
      </c>
      <c r="AH14" s="215" t="s">
        <v>542</v>
      </c>
      <c r="AI14" s="215" t="s">
        <v>542</v>
      </c>
      <c r="AJ14" s="215">
        <v>0</v>
      </c>
      <c r="AK14" s="215" t="s">
        <v>542</v>
      </c>
      <c r="AL14" s="215">
        <v>0</v>
      </c>
      <c r="AM14" s="215" t="s">
        <v>542</v>
      </c>
      <c r="AN14" s="215">
        <v>0</v>
      </c>
      <c r="AO14" s="215" t="s">
        <v>542</v>
      </c>
      <c r="AP14" s="215" t="s">
        <v>542</v>
      </c>
      <c r="AQ14" s="215" t="s">
        <v>542</v>
      </c>
      <c r="AR14" s="215" t="s">
        <v>542</v>
      </c>
      <c r="AS14" s="215" t="s">
        <v>542</v>
      </c>
      <c r="AT14" s="215" t="s">
        <v>542</v>
      </c>
      <c r="AU14" s="215" t="s">
        <v>542</v>
      </c>
      <c r="AV14" s="215" t="s">
        <v>542</v>
      </c>
      <c r="AW14" s="215">
        <v>0</v>
      </c>
      <c r="AX14" s="215" t="s">
        <v>542</v>
      </c>
      <c r="AY14" s="215">
        <v>0</v>
      </c>
      <c r="AZ14" s="215" t="s">
        <v>542</v>
      </c>
      <c r="BA14" s="215" t="s">
        <v>542</v>
      </c>
      <c r="BB14" s="215" t="s">
        <v>542</v>
      </c>
      <c r="BC14" s="215" t="s">
        <v>542</v>
      </c>
      <c r="BD14" s="215">
        <v>0</v>
      </c>
      <c r="BE14" s="215" t="s">
        <v>542</v>
      </c>
      <c r="BF14" s="215" t="s">
        <v>542</v>
      </c>
      <c r="BG14" s="215">
        <v>0</v>
      </c>
      <c r="BH14" s="215" t="s">
        <v>542</v>
      </c>
      <c r="BI14" s="215" t="s">
        <v>542</v>
      </c>
      <c r="BJ14" s="215" t="s">
        <v>542</v>
      </c>
      <c r="BK14" s="215" t="s">
        <v>542</v>
      </c>
      <c r="BL14" s="215" t="s">
        <v>588</v>
      </c>
      <c r="BM14" s="215" t="s">
        <v>542</v>
      </c>
      <c r="BN14" s="215" t="s">
        <v>588</v>
      </c>
      <c r="BO14" s="215" t="s">
        <v>542</v>
      </c>
      <c r="BP14" s="215" t="s">
        <v>542</v>
      </c>
      <c r="BQ14" s="215" t="s">
        <v>542</v>
      </c>
      <c r="BR14" s="215" t="s">
        <v>542</v>
      </c>
      <c r="BS14" s="215" t="s">
        <v>542</v>
      </c>
      <c r="BT14" s="215" t="s">
        <v>542</v>
      </c>
      <c r="BU14" s="215" t="s">
        <v>542</v>
      </c>
      <c r="BV14" s="215">
        <v>0</v>
      </c>
      <c r="BW14" s="215" t="s">
        <v>542</v>
      </c>
      <c r="BX14" s="215" t="s">
        <v>542</v>
      </c>
      <c r="BY14" s="215" t="s">
        <v>542</v>
      </c>
      <c r="BZ14" s="215" t="s">
        <v>542</v>
      </c>
      <c r="CA14" s="215" t="s">
        <v>542</v>
      </c>
      <c r="CB14" s="215" t="s">
        <v>542</v>
      </c>
      <c r="CC14" s="215" t="s">
        <v>542</v>
      </c>
      <c r="CD14" s="215" t="s">
        <v>542</v>
      </c>
      <c r="CE14" s="215" t="s">
        <v>542</v>
      </c>
      <c r="CF14" s="215" t="s">
        <v>542</v>
      </c>
      <c r="CG14" s="215" t="s">
        <v>542</v>
      </c>
      <c r="CH14" s="215" t="s">
        <v>542</v>
      </c>
      <c r="CI14" s="215" t="s">
        <v>542</v>
      </c>
      <c r="CJ14" s="215" t="s">
        <v>542</v>
      </c>
      <c r="CK14" s="215" t="s">
        <v>542</v>
      </c>
      <c r="CL14" s="215" t="s">
        <v>542</v>
      </c>
      <c r="CM14" s="215" t="s">
        <v>542</v>
      </c>
      <c r="CN14" s="215" t="s">
        <v>542</v>
      </c>
      <c r="CO14" s="215" t="s">
        <v>542</v>
      </c>
      <c r="CP14" s="215" t="s">
        <v>542</v>
      </c>
      <c r="CQ14" s="215" t="s">
        <v>542</v>
      </c>
      <c r="CR14" s="215" t="s">
        <v>542</v>
      </c>
      <c r="CS14" s="215" t="s">
        <v>542</v>
      </c>
      <c r="CT14" s="215" t="s">
        <v>542</v>
      </c>
      <c r="CU14" s="215" t="s">
        <v>542</v>
      </c>
      <c r="CV14" s="215" t="s">
        <v>542</v>
      </c>
      <c r="CW14" s="215" t="s">
        <v>542</v>
      </c>
      <c r="CX14" s="215" t="s">
        <v>542</v>
      </c>
      <c r="CY14" s="215" t="s">
        <v>542</v>
      </c>
      <c r="CZ14" s="215" t="s">
        <v>542</v>
      </c>
      <c r="DA14" s="215" t="s">
        <v>542</v>
      </c>
      <c r="DB14" s="215" t="s">
        <v>542</v>
      </c>
      <c r="DC14" s="215" t="s">
        <v>542</v>
      </c>
      <c r="DD14" s="215" t="s">
        <v>542</v>
      </c>
      <c r="DE14" s="215" t="s">
        <v>542</v>
      </c>
      <c r="DF14" s="215" t="s">
        <v>542</v>
      </c>
      <c r="DG14" s="215" t="s">
        <v>542</v>
      </c>
      <c r="DH14" s="215" t="s">
        <v>542</v>
      </c>
      <c r="DI14" s="215" t="s">
        <v>542</v>
      </c>
      <c r="DJ14" s="215" t="s">
        <v>542</v>
      </c>
      <c r="DK14" s="215" t="s">
        <v>542</v>
      </c>
      <c r="DL14" s="215">
        <v>0</v>
      </c>
      <c r="DM14" s="215" t="s">
        <v>542</v>
      </c>
      <c r="DN14" s="215" t="s">
        <v>542</v>
      </c>
      <c r="DO14" s="215" t="s">
        <v>542</v>
      </c>
      <c r="DP14" s="215" t="s">
        <v>542</v>
      </c>
      <c r="DQ14" s="215" t="s">
        <v>542</v>
      </c>
      <c r="DR14" s="215" t="s">
        <v>542</v>
      </c>
      <c r="DS14" s="215">
        <v>0</v>
      </c>
      <c r="DT14" s="215" t="s">
        <v>542</v>
      </c>
      <c r="DU14" s="215" t="s">
        <v>542</v>
      </c>
      <c r="DV14" s="215" t="s">
        <v>542</v>
      </c>
      <c r="DW14" s="215" t="s">
        <v>542</v>
      </c>
      <c r="DX14" s="215" t="s">
        <v>542</v>
      </c>
      <c r="DY14" s="215">
        <v>0</v>
      </c>
      <c r="DZ14" s="215" t="s">
        <v>542</v>
      </c>
      <c r="EA14" s="215" t="s">
        <v>542</v>
      </c>
      <c r="EB14" s="215" t="s">
        <v>542</v>
      </c>
      <c r="EC14" s="215" t="s">
        <v>542</v>
      </c>
      <c r="ED14" s="215" t="s">
        <v>542</v>
      </c>
      <c r="EE14" s="215">
        <v>0</v>
      </c>
      <c r="EF14" s="215" t="s">
        <v>542</v>
      </c>
      <c r="EG14" s="215" t="s">
        <v>542</v>
      </c>
      <c r="EH14" s="215" t="s">
        <v>542</v>
      </c>
      <c r="EI14" s="215" t="s">
        <v>542</v>
      </c>
      <c r="EJ14" s="215" t="s">
        <v>542</v>
      </c>
      <c r="EK14" s="215">
        <v>0</v>
      </c>
      <c r="EL14" s="215" t="s">
        <v>542</v>
      </c>
      <c r="EM14" s="215" t="s">
        <v>542</v>
      </c>
      <c r="EN14" s="215" t="s">
        <v>542</v>
      </c>
      <c r="EO14" s="215" t="s">
        <v>542</v>
      </c>
      <c r="EP14" s="215" t="s">
        <v>542</v>
      </c>
      <c r="EQ14" s="215">
        <v>0</v>
      </c>
      <c r="ER14" s="215" t="s">
        <v>542</v>
      </c>
      <c r="ES14" s="215">
        <v>0</v>
      </c>
      <c r="ET14" s="215" t="s">
        <v>542</v>
      </c>
      <c r="EU14" s="215" t="s">
        <v>542</v>
      </c>
      <c r="EV14" s="215" t="s">
        <v>542</v>
      </c>
      <c r="EW14" s="215" t="s">
        <v>542</v>
      </c>
      <c r="EX14" s="215" t="s">
        <v>542</v>
      </c>
      <c r="EY14" s="215" t="s">
        <v>542</v>
      </c>
      <c r="EZ14" s="215">
        <v>0</v>
      </c>
      <c r="FA14" s="215" t="s">
        <v>542</v>
      </c>
      <c r="FB14" s="215" t="s">
        <v>542</v>
      </c>
      <c r="FC14" s="215" t="s">
        <v>542</v>
      </c>
      <c r="FD14" s="215" t="s">
        <v>542</v>
      </c>
      <c r="FE14" s="215" t="s">
        <v>542</v>
      </c>
      <c r="FF14" s="215">
        <v>0</v>
      </c>
      <c r="FG14" s="215" t="s">
        <v>542</v>
      </c>
      <c r="FH14" s="215" t="s">
        <v>542</v>
      </c>
      <c r="FI14" s="215" t="s">
        <v>542</v>
      </c>
      <c r="FJ14" s="215" t="s">
        <v>542</v>
      </c>
      <c r="FK14" s="215" t="s">
        <v>542</v>
      </c>
      <c r="FL14" s="215" t="s">
        <v>588</v>
      </c>
      <c r="FM14" s="215" t="s">
        <v>542</v>
      </c>
      <c r="FN14" s="215" t="s">
        <v>542</v>
      </c>
      <c r="FO14" s="215" t="s">
        <v>542</v>
      </c>
      <c r="FP14" s="215" t="s">
        <v>542</v>
      </c>
      <c r="FQ14" s="215" t="s">
        <v>542</v>
      </c>
      <c r="FR14" s="215" t="s">
        <v>588</v>
      </c>
      <c r="FS14" s="215" t="s">
        <v>542</v>
      </c>
      <c r="FT14" s="215" t="s">
        <v>542</v>
      </c>
      <c r="FU14" s="215" t="s">
        <v>542</v>
      </c>
      <c r="FV14" s="215" t="s">
        <v>542</v>
      </c>
      <c r="FW14" s="215" t="s">
        <v>542</v>
      </c>
      <c r="FX14" s="215" t="s">
        <v>588</v>
      </c>
      <c r="FY14" s="215" t="s">
        <v>542</v>
      </c>
      <c r="FZ14" s="215" t="s">
        <v>588</v>
      </c>
      <c r="GA14" s="215" t="s">
        <v>542</v>
      </c>
      <c r="GB14" s="215" t="s">
        <v>542</v>
      </c>
      <c r="GC14" s="215" t="s">
        <v>542</v>
      </c>
      <c r="GD14" s="215" t="s">
        <v>542</v>
      </c>
      <c r="GE14" s="215" t="s">
        <v>542</v>
      </c>
      <c r="GF14" s="215" t="s">
        <v>542</v>
      </c>
      <c r="GG14" s="215" t="s">
        <v>542</v>
      </c>
      <c r="GH14" s="215" t="s">
        <v>588</v>
      </c>
      <c r="GI14" s="215" t="s">
        <v>542</v>
      </c>
      <c r="GJ14" s="215" t="s">
        <v>588</v>
      </c>
    </row>
    <row r="15" spans="1:192" ht="17" customHeight="1" x14ac:dyDescent="0.2">
      <c r="A15" s="215" t="s">
        <v>559</v>
      </c>
      <c r="B15" s="215">
        <v>2024</v>
      </c>
      <c r="C15" s="215" t="s">
        <v>541</v>
      </c>
      <c r="D15" s="215" t="s">
        <v>541</v>
      </c>
      <c r="E15" s="215" t="s">
        <v>542</v>
      </c>
      <c r="F15" s="215" t="s">
        <v>542</v>
      </c>
      <c r="G15" s="215" t="s">
        <v>542</v>
      </c>
      <c r="H15" s="215" t="s">
        <v>542</v>
      </c>
      <c r="I15" s="215">
        <v>0</v>
      </c>
      <c r="J15" s="215" t="s">
        <v>541</v>
      </c>
      <c r="K15" s="215" t="s">
        <v>541</v>
      </c>
      <c r="L15" s="215" t="s">
        <v>541</v>
      </c>
      <c r="M15" s="215" t="s">
        <v>542</v>
      </c>
      <c r="N15" s="215" t="s">
        <v>542</v>
      </c>
      <c r="O15" s="215" t="s">
        <v>542</v>
      </c>
      <c r="P15" s="215" t="s">
        <v>542</v>
      </c>
      <c r="Q15" s="215" t="s">
        <v>542</v>
      </c>
      <c r="R15" s="215" t="s">
        <v>542</v>
      </c>
      <c r="S15" s="215">
        <v>0</v>
      </c>
      <c r="T15" s="215" t="s">
        <v>542</v>
      </c>
      <c r="U15" s="215">
        <v>0</v>
      </c>
      <c r="V15" s="215" t="s">
        <v>541</v>
      </c>
      <c r="W15" s="215" t="s">
        <v>541</v>
      </c>
      <c r="X15" s="215" t="s">
        <v>541</v>
      </c>
      <c r="Y15" s="215" t="s">
        <v>541</v>
      </c>
      <c r="Z15" s="215" t="s">
        <v>541</v>
      </c>
      <c r="AA15" s="215" t="s">
        <v>542</v>
      </c>
      <c r="AB15" s="215" t="s">
        <v>542</v>
      </c>
      <c r="AC15" s="215" t="s">
        <v>542</v>
      </c>
      <c r="AD15" s="215" t="s">
        <v>542</v>
      </c>
      <c r="AE15" s="215" t="s">
        <v>542</v>
      </c>
      <c r="AF15" s="215" t="s">
        <v>541</v>
      </c>
      <c r="AG15" s="215">
        <v>0</v>
      </c>
      <c r="AH15" s="215" t="s">
        <v>542</v>
      </c>
      <c r="AI15" s="215" t="s">
        <v>542</v>
      </c>
      <c r="AJ15" s="215">
        <v>0</v>
      </c>
      <c r="AK15" s="215" t="s">
        <v>542</v>
      </c>
      <c r="AL15" s="215">
        <v>0</v>
      </c>
      <c r="AM15" s="215" t="s">
        <v>542</v>
      </c>
      <c r="AN15" s="215" t="s">
        <v>560</v>
      </c>
      <c r="AO15" s="215" t="s">
        <v>542</v>
      </c>
      <c r="AP15" s="215" t="s">
        <v>542</v>
      </c>
      <c r="AQ15" s="215" t="s">
        <v>542</v>
      </c>
      <c r="AR15" s="215" t="s">
        <v>542</v>
      </c>
      <c r="AS15" s="215" t="s">
        <v>542</v>
      </c>
      <c r="AT15" s="215" t="s">
        <v>542</v>
      </c>
      <c r="AU15" s="215" t="s">
        <v>542</v>
      </c>
      <c r="AV15" s="215" t="s">
        <v>542</v>
      </c>
      <c r="AW15" s="215">
        <v>0</v>
      </c>
      <c r="AX15" s="215" t="s">
        <v>542</v>
      </c>
      <c r="AY15" s="215">
        <v>0</v>
      </c>
      <c r="AZ15" s="215" t="s">
        <v>542</v>
      </c>
      <c r="BA15" s="215" t="s">
        <v>542</v>
      </c>
      <c r="BB15" s="215" t="s">
        <v>542</v>
      </c>
      <c r="BC15" s="215" t="s">
        <v>542</v>
      </c>
      <c r="BD15" s="215">
        <v>0</v>
      </c>
      <c r="BE15" s="215" t="s">
        <v>542</v>
      </c>
      <c r="BF15" s="215" t="s">
        <v>542</v>
      </c>
      <c r="BG15" s="215">
        <v>0</v>
      </c>
      <c r="BH15" s="215" t="s">
        <v>542</v>
      </c>
      <c r="BI15" s="215" t="s">
        <v>542</v>
      </c>
      <c r="BJ15" s="215" t="s">
        <v>542</v>
      </c>
      <c r="BK15" s="215" t="s">
        <v>542</v>
      </c>
      <c r="BL15" s="215" t="s">
        <v>588</v>
      </c>
      <c r="BM15" s="215" t="s">
        <v>542</v>
      </c>
      <c r="BN15" s="215" t="s">
        <v>588</v>
      </c>
      <c r="BO15" s="215" t="s">
        <v>542</v>
      </c>
      <c r="BP15" s="215" t="s">
        <v>542</v>
      </c>
      <c r="BQ15" s="215" t="s">
        <v>542</v>
      </c>
      <c r="BR15" s="215" t="s">
        <v>542</v>
      </c>
      <c r="BS15" s="215" t="s">
        <v>542</v>
      </c>
      <c r="BT15" s="215" t="s">
        <v>542</v>
      </c>
      <c r="BU15" s="215" t="s">
        <v>542</v>
      </c>
      <c r="BV15" s="215">
        <v>0</v>
      </c>
      <c r="BW15" s="215" t="s">
        <v>542</v>
      </c>
      <c r="BX15" s="215" t="s">
        <v>542</v>
      </c>
      <c r="BY15" s="215" t="s">
        <v>542</v>
      </c>
      <c r="BZ15" s="215" t="s">
        <v>542</v>
      </c>
      <c r="CA15" s="215" t="s">
        <v>542</v>
      </c>
      <c r="CB15" s="215" t="s">
        <v>542</v>
      </c>
      <c r="CC15" s="215" t="s">
        <v>542</v>
      </c>
      <c r="CD15" s="215" t="s">
        <v>542</v>
      </c>
      <c r="CE15" s="215" t="s">
        <v>542</v>
      </c>
      <c r="CF15" s="215" t="s">
        <v>542</v>
      </c>
      <c r="CG15" s="215" t="s">
        <v>542</v>
      </c>
      <c r="CH15" s="215" t="s">
        <v>541</v>
      </c>
      <c r="CI15" s="215" t="s">
        <v>541</v>
      </c>
      <c r="CJ15" s="215" t="s">
        <v>542</v>
      </c>
      <c r="CK15" s="215" t="s">
        <v>542</v>
      </c>
      <c r="CL15" s="215" t="s">
        <v>542</v>
      </c>
      <c r="CM15" s="215" t="s">
        <v>541</v>
      </c>
      <c r="CN15" s="215" t="s">
        <v>542</v>
      </c>
      <c r="CO15" s="215" t="s">
        <v>542</v>
      </c>
      <c r="CP15" s="215" t="s">
        <v>542</v>
      </c>
      <c r="CQ15" s="215" t="s">
        <v>542</v>
      </c>
      <c r="CR15" s="215" t="s">
        <v>542</v>
      </c>
      <c r="CS15" s="215" t="s">
        <v>542</v>
      </c>
      <c r="CT15" s="215" t="s">
        <v>542</v>
      </c>
      <c r="CU15" s="215" t="s">
        <v>542</v>
      </c>
      <c r="CV15" s="215" t="s">
        <v>542</v>
      </c>
      <c r="CW15" s="215" t="s">
        <v>542</v>
      </c>
      <c r="CX15" s="215" t="s">
        <v>542</v>
      </c>
      <c r="CY15" s="215" t="s">
        <v>542</v>
      </c>
      <c r="CZ15" s="215" t="s">
        <v>542</v>
      </c>
      <c r="DA15" s="215" t="s">
        <v>542</v>
      </c>
      <c r="DB15" s="215" t="s">
        <v>542</v>
      </c>
      <c r="DC15" s="215" t="s">
        <v>542</v>
      </c>
      <c r="DD15" s="215" t="s">
        <v>542</v>
      </c>
      <c r="DE15" s="215" t="s">
        <v>542</v>
      </c>
      <c r="DF15" s="215" t="s">
        <v>542</v>
      </c>
      <c r="DG15" s="215" t="s">
        <v>542</v>
      </c>
      <c r="DH15" s="215" t="s">
        <v>542</v>
      </c>
      <c r="DI15" s="215" t="s">
        <v>542</v>
      </c>
      <c r="DJ15" s="215" t="s">
        <v>542</v>
      </c>
      <c r="DK15" s="215" t="s">
        <v>542</v>
      </c>
      <c r="DL15" s="215">
        <v>0</v>
      </c>
      <c r="DM15" s="215" t="s">
        <v>542</v>
      </c>
      <c r="DN15" s="215" t="s">
        <v>542</v>
      </c>
      <c r="DO15" s="215" t="s">
        <v>542</v>
      </c>
      <c r="DP15" s="215" t="s">
        <v>542</v>
      </c>
      <c r="DQ15" s="215" t="s">
        <v>542</v>
      </c>
      <c r="DR15" s="215" t="s">
        <v>542</v>
      </c>
      <c r="DS15" s="215">
        <v>0</v>
      </c>
      <c r="DT15" s="215" t="s">
        <v>542</v>
      </c>
      <c r="DU15" s="215" t="s">
        <v>542</v>
      </c>
      <c r="DV15" s="215" t="s">
        <v>542</v>
      </c>
      <c r="DW15" s="215" t="s">
        <v>542</v>
      </c>
      <c r="DX15" s="215" t="s">
        <v>542</v>
      </c>
      <c r="DY15" s="215">
        <v>0</v>
      </c>
      <c r="DZ15" s="215" t="s">
        <v>542</v>
      </c>
      <c r="EA15" s="215" t="s">
        <v>542</v>
      </c>
      <c r="EB15" s="215" t="s">
        <v>542</v>
      </c>
      <c r="EC15" s="215" t="s">
        <v>542</v>
      </c>
      <c r="ED15" s="215" t="s">
        <v>542</v>
      </c>
      <c r="EE15" s="215">
        <v>0</v>
      </c>
      <c r="EF15" s="215" t="s">
        <v>542</v>
      </c>
      <c r="EG15" s="215" t="s">
        <v>542</v>
      </c>
      <c r="EH15" s="215" t="s">
        <v>542</v>
      </c>
      <c r="EI15" s="215" t="s">
        <v>542</v>
      </c>
      <c r="EJ15" s="215" t="s">
        <v>542</v>
      </c>
      <c r="EK15" s="215">
        <v>0</v>
      </c>
      <c r="EL15" s="215" t="s">
        <v>542</v>
      </c>
      <c r="EM15" s="215" t="s">
        <v>542</v>
      </c>
      <c r="EN15" s="215" t="s">
        <v>542</v>
      </c>
      <c r="EO15" s="215" t="s">
        <v>542</v>
      </c>
      <c r="EP15" s="215" t="s">
        <v>542</v>
      </c>
      <c r="EQ15" s="215">
        <v>0</v>
      </c>
      <c r="ER15" s="215" t="s">
        <v>542</v>
      </c>
      <c r="ES15" s="215">
        <v>0</v>
      </c>
      <c r="ET15" s="215" t="s">
        <v>542</v>
      </c>
      <c r="EU15" s="215" t="s">
        <v>542</v>
      </c>
      <c r="EV15" s="215" t="s">
        <v>542</v>
      </c>
      <c r="EW15" s="215" t="s">
        <v>542</v>
      </c>
      <c r="EX15" s="215" t="s">
        <v>542</v>
      </c>
      <c r="EY15" s="215" t="s">
        <v>542</v>
      </c>
      <c r="EZ15" s="215">
        <v>0</v>
      </c>
      <c r="FA15" s="215" t="s">
        <v>542</v>
      </c>
      <c r="FB15" s="215" t="s">
        <v>542</v>
      </c>
      <c r="FC15" s="215" t="s">
        <v>542</v>
      </c>
      <c r="FD15" s="215" t="s">
        <v>542</v>
      </c>
      <c r="FE15" s="215" t="s">
        <v>542</v>
      </c>
      <c r="FF15" s="215">
        <v>0</v>
      </c>
      <c r="FG15" s="215" t="s">
        <v>542</v>
      </c>
      <c r="FH15" s="215" t="s">
        <v>542</v>
      </c>
      <c r="FI15" s="215" t="s">
        <v>542</v>
      </c>
      <c r="FJ15" s="215" t="s">
        <v>542</v>
      </c>
      <c r="FK15" s="215" t="s">
        <v>542</v>
      </c>
      <c r="FL15" s="215" t="s">
        <v>588</v>
      </c>
      <c r="FM15" s="215" t="s">
        <v>542</v>
      </c>
      <c r="FN15" s="215" t="s">
        <v>542</v>
      </c>
      <c r="FO15" s="215" t="s">
        <v>542</v>
      </c>
      <c r="FP15" s="215" t="s">
        <v>542</v>
      </c>
      <c r="FQ15" s="215" t="s">
        <v>542</v>
      </c>
      <c r="FR15" s="215" t="s">
        <v>588</v>
      </c>
      <c r="FS15" s="215" t="s">
        <v>542</v>
      </c>
      <c r="FT15" s="215" t="s">
        <v>542</v>
      </c>
      <c r="FU15" s="215" t="s">
        <v>542</v>
      </c>
      <c r="FV15" s="215" t="s">
        <v>542</v>
      </c>
      <c r="FW15" s="215" t="s">
        <v>542</v>
      </c>
      <c r="FX15" s="215" t="s">
        <v>588</v>
      </c>
      <c r="FY15" s="215" t="s">
        <v>542</v>
      </c>
      <c r="FZ15" s="215" t="s">
        <v>588</v>
      </c>
      <c r="GA15" s="215" t="s">
        <v>542</v>
      </c>
      <c r="GB15" s="215" t="s">
        <v>542</v>
      </c>
      <c r="GC15" s="215" t="s">
        <v>542</v>
      </c>
      <c r="GD15" s="215" t="s">
        <v>542</v>
      </c>
      <c r="GE15" s="215" t="s">
        <v>542</v>
      </c>
      <c r="GF15" s="215" t="s">
        <v>542</v>
      </c>
      <c r="GG15" s="215" t="s">
        <v>542</v>
      </c>
      <c r="GH15" s="215" t="s">
        <v>588</v>
      </c>
      <c r="GI15" s="215" t="s">
        <v>542</v>
      </c>
      <c r="GJ15" s="215" t="s">
        <v>588</v>
      </c>
    </row>
    <row r="16" spans="1:192" x14ac:dyDescent="0.2">
      <c r="A16" s="215" t="s">
        <v>561</v>
      </c>
      <c r="B16" s="215">
        <v>2024</v>
      </c>
      <c r="C16" s="215" t="s">
        <v>541</v>
      </c>
      <c r="D16" s="215" t="s">
        <v>541</v>
      </c>
      <c r="E16" s="215" t="s">
        <v>542</v>
      </c>
      <c r="F16" s="215" t="s">
        <v>542</v>
      </c>
      <c r="G16" s="215" t="s">
        <v>542</v>
      </c>
      <c r="H16" s="215" t="s">
        <v>542</v>
      </c>
      <c r="I16" s="215">
        <v>0</v>
      </c>
      <c r="J16" s="215" t="s">
        <v>541</v>
      </c>
      <c r="K16" s="215" t="s">
        <v>541</v>
      </c>
      <c r="L16" s="215" t="s">
        <v>541</v>
      </c>
      <c r="M16" s="215" t="s">
        <v>541</v>
      </c>
      <c r="N16" s="215" t="s">
        <v>541</v>
      </c>
      <c r="O16" s="215" t="s">
        <v>541</v>
      </c>
      <c r="P16" s="215" t="s">
        <v>542</v>
      </c>
      <c r="Q16" s="215" t="s">
        <v>542</v>
      </c>
      <c r="R16" s="215" t="s">
        <v>542</v>
      </c>
      <c r="S16" s="215">
        <v>0</v>
      </c>
      <c r="T16" s="215" t="s">
        <v>542</v>
      </c>
      <c r="U16" s="215">
        <v>0</v>
      </c>
      <c r="V16" s="215" t="s">
        <v>541</v>
      </c>
      <c r="W16" s="215" t="s">
        <v>541</v>
      </c>
      <c r="X16" s="215" t="s">
        <v>541</v>
      </c>
      <c r="Y16" s="215" t="s">
        <v>541</v>
      </c>
      <c r="Z16" s="215" t="s">
        <v>541</v>
      </c>
      <c r="AA16" s="215" t="s">
        <v>542</v>
      </c>
      <c r="AB16" s="215" t="s">
        <v>542</v>
      </c>
      <c r="AC16" s="215" t="s">
        <v>542</v>
      </c>
      <c r="AD16" s="215" t="s">
        <v>542</v>
      </c>
      <c r="AE16" s="215" t="s">
        <v>542</v>
      </c>
      <c r="AF16" s="215" t="s">
        <v>541</v>
      </c>
      <c r="AG16" s="215">
        <v>0</v>
      </c>
      <c r="AH16" s="215" t="s">
        <v>541</v>
      </c>
      <c r="AI16" s="215" t="s">
        <v>542</v>
      </c>
      <c r="AJ16" s="215">
        <v>0</v>
      </c>
      <c r="AK16" s="215" t="s">
        <v>542</v>
      </c>
      <c r="AL16" s="215">
        <v>0</v>
      </c>
      <c r="AM16" s="215" t="s">
        <v>542</v>
      </c>
      <c r="AN16" s="215">
        <v>0</v>
      </c>
      <c r="AO16" s="215" t="s">
        <v>542</v>
      </c>
      <c r="AP16" s="215" t="s">
        <v>542</v>
      </c>
      <c r="AQ16" s="215" t="s">
        <v>542</v>
      </c>
      <c r="AR16" s="215" t="s">
        <v>542</v>
      </c>
      <c r="AS16" s="215" t="s">
        <v>542</v>
      </c>
      <c r="AT16" s="215" t="s">
        <v>542</v>
      </c>
      <c r="AU16" s="215" t="s">
        <v>542</v>
      </c>
      <c r="AV16" s="215" t="s">
        <v>542</v>
      </c>
      <c r="AW16" s="215">
        <v>0</v>
      </c>
      <c r="AX16" s="215" t="s">
        <v>542</v>
      </c>
      <c r="AY16" s="215">
        <v>0</v>
      </c>
      <c r="AZ16" s="215" t="s">
        <v>542</v>
      </c>
      <c r="BA16" s="215" t="s">
        <v>542</v>
      </c>
      <c r="BB16" s="215" t="s">
        <v>542</v>
      </c>
      <c r="BC16" s="215" t="s">
        <v>542</v>
      </c>
      <c r="BD16" s="215">
        <v>0</v>
      </c>
      <c r="BE16" s="215" t="s">
        <v>542</v>
      </c>
      <c r="BF16" s="215" t="s">
        <v>542</v>
      </c>
      <c r="BG16" s="215">
        <v>0</v>
      </c>
      <c r="BH16" s="215" t="s">
        <v>542</v>
      </c>
      <c r="BI16" s="215" t="s">
        <v>542</v>
      </c>
      <c r="BJ16" s="215" t="s">
        <v>542</v>
      </c>
      <c r="BK16" s="215" t="s">
        <v>542</v>
      </c>
      <c r="BL16" s="215" t="s">
        <v>588</v>
      </c>
      <c r="BM16" s="215" t="s">
        <v>542</v>
      </c>
      <c r="BN16" s="215" t="s">
        <v>588</v>
      </c>
      <c r="BO16" s="215" t="s">
        <v>542</v>
      </c>
      <c r="BP16" s="215" t="s">
        <v>542</v>
      </c>
      <c r="BQ16" s="215" t="s">
        <v>542</v>
      </c>
      <c r="BR16" s="215" t="s">
        <v>542</v>
      </c>
      <c r="BS16" s="215" t="s">
        <v>542</v>
      </c>
      <c r="BT16" s="215" t="s">
        <v>542</v>
      </c>
      <c r="BU16" s="215" t="s">
        <v>542</v>
      </c>
      <c r="BV16" s="215">
        <v>0</v>
      </c>
      <c r="BW16" s="215" t="s">
        <v>541</v>
      </c>
      <c r="BX16" s="215" t="s">
        <v>541</v>
      </c>
      <c r="BY16" s="215" t="s">
        <v>541</v>
      </c>
      <c r="BZ16" s="215" t="s">
        <v>542</v>
      </c>
      <c r="CA16" s="215" t="s">
        <v>542</v>
      </c>
      <c r="CB16" s="215" t="s">
        <v>542</v>
      </c>
      <c r="CC16" s="215" t="s">
        <v>542</v>
      </c>
      <c r="CD16" s="215" t="s">
        <v>542</v>
      </c>
      <c r="CE16" s="215" t="s">
        <v>542</v>
      </c>
      <c r="CF16" s="215" t="s">
        <v>542</v>
      </c>
      <c r="CG16" s="215" t="s">
        <v>542</v>
      </c>
      <c r="CH16" s="215" t="s">
        <v>541</v>
      </c>
      <c r="CI16" s="215" t="s">
        <v>541</v>
      </c>
      <c r="CJ16" s="215" t="s">
        <v>542</v>
      </c>
      <c r="CK16" s="215" t="s">
        <v>542</v>
      </c>
      <c r="CL16" s="215" t="s">
        <v>542</v>
      </c>
      <c r="CM16" s="215" t="s">
        <v>541</v>
      </c>
      <c r="CN16" s="215" t="s">
        <v>542</v>
      </c>
      <c r="CO16" s="215" t="s">
        <v>542</v>
      </c>
      <c r="CP16" s="215" t="s">
        <v>542</v>
      </c>
      <c r="CQ16" s="215" t="s">
        <v>542</v>
      </c>
      <c r="CR16" s="215" t="s">
        <v>542</v>
      </c>
      <c r="CS16" s="215" t="s">
        <v>542</v>
      </c>
      <c r="CT16" s="215" t="s">
        <v>542</v>
      </c>
      <c r="CU16" s="215" t="s">
        <v>542</v>
      </c>
      <c r="CV16" s="215" t="s">
        <v>542</v>
      </c>
      <c r="CW16" s="215" t="s">
        <v>542</v>
      </c>
      <c r="CX16" s="215" t="s">
        <v>542</v>
      </c>
      <c r="CY16" s="215" t="s">
        <v>542</v>
      </c>
      <c r="CZ16" s="215" t="s">
        <v>542</v>
      </c>
      <c r="DA16" s="215" t="s">
        <v>542</v>
      </c>
      <c r="DB16" s="215" t="s">
        <v>542</v>
      </c>
      <c r="DC16" s="215" t="s">
        <v>542</v>
      </c>
      <c r="DD16" s="215" t="s">
        <v>542</v>
      </c>
      <c r="DE16" s="215" t="s">
        <v>542</v>
      </c>
      <c r="DF16" s="215" t="s">
        <v>542</v>
      </c>
      <c r="DG16" s="215" t="s">
        <v>542</v>
      </c>
      <c r="DH16" s="215" t="s">
        <v>542</v>
      </c>
      <c r="DI16" s="215" t="s">
        <v>542</v>
      </c>
      <c r="DJ16" s="215" t="s">
        <v>542</v>
      </c>
      <c r="DK16" s="215" t="s">
        <v>542</v>
      </c>
      <c r="DL16" s="215">
        <v>0</v>
      </c>
      <c r="DM16" s="215" t="s">
        <v>542</v>
      </c>
      <c r="DN16" s="215" t="s">
        <v>542</v>
      </c>
      <c r="DO16" s="215" t="s">
        <v>542</v>
      </c>
      <c r="DP16" s="215" t="s">
        <v>542</v>
      </c>
      <c r="DQ16" s="215" t="s">
        <v>542</v>
      </c>
      <c r="DR16" s="215" t="s">
        <v>542</v>
      </c>
      <c r="DS16" s="215">
        <v>0</v>
      </c>
      <c r="DT16" s="215" t="s">
        <v>542</v>
      </c>
      <c r="DU16" s="215" t="s">
        <v>542</v>
      </c>
      <c r="DV16" s="215" t="s">
        <v>542</v>
      </c>
      <c r="DW16" s="215" t="s">
        <v>542</v>
      </c>
      <c r="DX16" s="215" t="s">
        <v>542</v>
      </c>
      <c r="DY16" s="215">
        <v>0</v>
      </c>
      <c r="DZ16" s="215" t="s">
        <v>542</v>
      </c>
      <c r="EA16" s="215" t="s">
        <v>542</v>
      </c>
      <c r="EB16" s="215" t="s">
        <v>542</v>
      </c>
      <c r="EC16" s="215" t="s">
        <v>542</v>
      </c>
      <c r="ED16" s="215" t="s">
        <v>542</v>
      </c>
      <c r="EE16" s="215">
        <v>0</v>
      </c>
      <c r="EF16" s="215" t="s">
        <v>542</v>
      </c>
      <c r="EG16" s="215" t="s">
        <v>542</v>
      </c>
      <c r="EH16" s="215" t="s">
        <v>542</v>
      </c>
      <c r="EI16" s="215" t="s">
        <v>542</v>
      </c>
      <c r="EJ16" s="215" t="s">
        <v>542</v>
      </c>
      <c r="EK16" s="215">
        <v>0</v>
      </c>
      <c r="EL16" s="215" t="s">
        <v>542</v>
      </c>
      <c r="EM16" s="215" t="s">
        <v>542</v>
      </c>
      <c r="EN16" s="215" t="s">
        <v>542</v>
      </c>
      <c r="EO16" s="215" t="s">
        <v>542</v>
      </c>
      <c r="EP16" s="215" t="s">
        <v>542</v>
      </c>
      <c r="EQ16" s="215">
        <v>0</v>
      </c>
      <c r="ER16" s="215" t="s">
        <v>542</v>
      </c>
      <c r="ES16" s="215">
        <v>0</v>
      </c>
      <c r="ET16" s="215" t="s">
        <v>542</v>
      </c>
      <c r="EU16" s="215" t="s">
        <v>542</v>
      </c>
      <c r="EV16" s="215" t="s">
        <v>542</v>
      </c>
      <c r="EW16" s="215" t="s">
        <v>542</v>
      </c>
      <c r="EX16" s="215" t="s">
        <v>542</v>
      </c>
      <c r="EY16" s="215" t="s">
        <v>542</v>
      </c>
      <c r="EZ16" s="215">
        <v>0</v>
      </c>
      <c r="FA16" s="215" t="s">
        <v>542</v>
      </c>
      <c r="FB16" s="215" t="s">
        <v>542</v>
      </c>
      <c r="FC16" s="215" t="s">
        <v>542</v>
      </c>
      <c r="FD16" s="215" t="s">
        <v>542</v>
      </c>
      <c r="FE16" s="215" t="s">
        <v>542</v>
      </c>
      <c r="FF16" s="215">
        <v>0</v>
      </c>
      <c r="FG16" s="215" t="s">
        <v>542</v>
      </c>
      <c r="FH16" s="215" t="s">
        <v>542</v>
      </c>
      <c r="FI16" s="215" t="s">
        <v>542</v>
      </c>
      <c r="FJ16" s="215" t="s">
        <v>542</v>
      </c>
      <c r="FK16" s="215" t="s">
        <v>542</v>
      </c>
      <c r="FL16" s="215" t="s">
        <v>588</v>
      </c>
      <c r="FM16" s="215" t="s">
        <v>542</v>
      </c>
      <c r="FN16" s="215" t="s">
        <v>542</v>
      </c>
      <c r="FO16" s="215" t="s">
        <v>542</v>
      </c>
      <c r="FP16" s="215" t="s">
        <v>542</v>
      </c>
      <c r="FQ16" s="215" t="s">
        <v>542</v>
      </c>
      <c r="FR16" s="215" t="s">
        <v>588</v>
      </c>
      <c r="FS16" s="215" t="s">
        <v>542</v>
      </c>
      <c r="FT16" s="215" t="s">
        <v>542</v>
      </c>
      <c r="FU16" s="215" t="s">
        <v>542</v>
      </c>
      <c r="FV16" s="215" t="s">
        <v>542</v>
      </c>
      <c r="FW16" s="215" t="s">
        <v>542</v>
      </c>
      <c r="FX16" s="215" t="s">
        <v>588</v>
      </c>
      <c r="FY16" s="215" t="s">
        <v>542</v>
      </c>
      <c r="FZ16" s="215" t="s">
        <v>588</v>
      </c>
      <c r="GA16" s="215" t="s">
        <v>542</v>
      </c>
      <c r="GB16" s="215" t="s">
        <v>542</v>
      </c>
      <c r="GC16" s="215" t="s">
        <v>542</v>
      </c>
      <c r="GD16" s="215" t="s">
        <v>542</v>
      </c>
      <c r="GE16" s="215" t="s">
        <v>542</v>
      </c>
      <c r="GF16" s="215" t="s">
        <v>542</v>
      </c>
      <c r="GG16" s="215" t="s">
        <v>542</v>
      </c>
      <c r="GH16" s="215" t="s">
        <v>588</v>
      </c>
      <c r="GI16" s="215" t="s">
        <v>542</v>
      </c>
      <c r="GJ16" s="215" t="s">
        <v>588</v>
      </c>
    </row>
    <row r="17" spans="1:192" x14ac:dyDescent="0.2">
      <c r="A17" s="215" t="s">
        <v>562</v>
      </c>
      <c r="B17" s="215">
        <v>2025</v>
      </c>
      <c r="C17" s="215" t="s">
        <v>541</v>
      </c>
      <c r="D17" s="215" t="s">
        <v>541</v>
      </c>
      <c r="E17" s="215" t="s">
        <v>542</v>
      </c>
      <c r="F17" s="215" t="s">
        <v>542</v>
      </c>
      <c r="G17" s="215" t="s">
        <v>541</v>
      </c>
      <c r="H17" s="215" t="s">
        <v>542</v>
      </c>
      <c r="I17" s="215">
        <v>0</v>
      </c>
      <c r="J17" s="215" t="s">
        <v>541</v>
      </c>
      <c r="K17" s="215" t="s">
        <v>541</v>
      </c>
      <c r="L17" s="215" t="s">
        <v>541</v>
      </c>
      <c r="M17" s="215" t="s">
        <v>541</v>
      </c>
      <c r="N17" s="215" t="s">
        <v>541</v>
      </c>
      <c r="O17" s="215" t="s">
        <v>541</v>
      </c>
      <c r="P17" s="215" t="s">
        <v>542</v>
      </c>
      <c r="Q17" s="215" t="s">
        <v>542</v>
      </c>
      <c r="R17" s="215" t="s">
        <v>542</v>
      </c>
      <c r="S17" s="215">
        <v>0</v>
      </c>
      <c r="T17" s="215" t="s">
        <v>542</v>
      </c>
      <c r="U17" s="215">
        <v>0</v>
      </c>
      <c r="V17" s="215" t="s">
        <v>541</v>
      </c>
      <c r="W17" s="215" t="s">
        <v>541</v>
      </c>
      <c r="X17" s="215" t="s">
        <v>541</v>
      </c>
      <c r="Y17" s="215" t="s">
        <v>541</v>
      </c>
      <c r="Z17" s="215" t="s">
        <v>541</v>
      </c>
      <c r="AA17" s="215" t="s">
        <v>542</v>
      </c>
      <c r="AB17" s="215" t="s">
        <v>542</v>
      </c>
      <c r="AC17" s="215" t="s">
        <v>542</v>
      </c>
      <c r="AD17" s="215" t="s">
        <v>542</v>
      </c>
      <c r="AE17" s="215" t="s">
        <v>542</v>
      </c>
      <c r="AF17" s="215" t="s">
        <v>541</v>
      </c>
      <c r="AG17" s="215">
        <v>0</v>
      </c>
      <c r="AH17" s="215" t="s">
        <v>541</v>
      </c>
      <c r="AI17" s="215" t="s">
        <v>542</v>
      </c>
      <c r="AJ17" s="215">
        <v>0</v>
      </c>
      <c r="AK17" s="215" t="s">
        <v>542</v>
      </c>
      <c r="AL17" s="215">
        <v>0</v>
      </c>
      <c r="AM17" s="215" t="s">
        <v>541</v>
      </c>
      <c r="AN17" s="215" t="s">
        <v>563</v>
      </c>
      <c r="AO17" s="215" t="s">
        <v>542</v>
      </c>
      <c r="AP17" s="215" t="s">
        <v>542</v>
      </c>
      <c r="AQ17" s="215" t="s">
        <v>542</v>
      </c>
      <c r="AR17" s="215" t="s">
        <v>542</v>
      </c>
      <c r="AS17" s="215" t="s">
        <v>542</v>
      </c>
      <c r="AT17" s="215" t="s">
        <v>542</v>
      </c>
      <c r="AU17" s="215" t="s">
        <v>542</v>
      </c>
      <c r="AV17" s="215" t="s">
        <v>542</v>
      </c>
      <c r="AW17" s="215">
        <v>0</v>
      </c>
      <c r="AX17" s="215" t="s">
        <v>542</v>
      </c>
      <c r="AY17" s="215">
        <v>0</v>
      </c>
      <c r="AZ17" s="215" t="s">
        <v>542</v>
      </c>
      <c r="BA17" s="215" t="s">
        <v>542</v>
      </c>
      <c r="BB17" s="215" t="s">
        <v>542</v>
      </c>
      <c r="BC17" s="215" t="s">
        <v>542</v>
      </c>
      <c r="BD17" s="215">
        <v>0</v>
      </c>
      <c r="BE17" s="215" t="s">
        <v>542</v>
      </c>
      <c r="BF17" s="215" t="s">
        <v>542</v>
      </c>
      <c r="BG17" s="215">
        <v>0</v>
      </c>
      <c r="BH17" s="215" t="s">
        <v>542</v>
      </c>
      <c r="BI17" s="215" t="s">
        <v>542</v>
      </c>
      <c r="BJ17" s="215" t="s">
        <v>542</v>
      </c>
      <c r="BK17" s="215" t="s">
        <v>542</v>
      </c>
      <c r="BL17" s="215" t="s">
        <v>588</v>
      </c>
      <c r="BM17" s="215" t="s">
        <v>542</v>
      </c>
      <c r="BN17" s="215" t="s">
        <v>588</v>
      </c>
      <c r="BO17" s="215" t="s">
        <v>542</v>
      </c>
      <c r="BP17" s="215" t="s">
        <v>542</v>
      </c>
      <c r="BQ17" s="215" t="s">
        <v>542</v>
      </c>
      <c r="BR17" s="215" t="s">
        <v>542</v>
      </c>
      <c r="BS17" s="215" t="s">
        <v>542</v>
      </c>
      <c r="BT17" s="215" t="s">
        <v>542</v>
      </c>
      <c r="BU17" s="215" t="s">
        <v>542</v>
      </c>
      <c r="BV17" s="215">
        <v>0</v>
      </c>
      <c r="BW17" s="215" t="s">
        <v>541</v>
      </c>
      <c r="BX17" s="215" t="s">
        <v>541</v>
      </c>
      <c r="BY17" s="215" t="s">
        <v>541</v>
      </c>
      <c r="BZ17" s="215" t="s">
        <v>542</v>
      </c>
      <c r="CA17" s="215" t="s">
        <v>542</v>
      </c>
      <c r="CB17" s="215" t="s">
        <v>542</v>
      </c>
      <c r="CC17" s="215" t="s">
        <v>542</v>
      </c>
      <c r="CD17" s="215" t="s">
        <v>542</v>
      </c>
      <c r="CE17" s="215" t="s">
        <v>542</v>
      </c>
      <c r="CF17" s="215" t="s">
        <v>542</v>
      </c>
      <c r="CG17" s="215" t="s">
        <v>542</v>
      </c>
      <c r="CH17" s="215" t="s">
        <v>542</v>
      </c>
      <c r="CI17" s="215" t="s">
        <v>542</v>
      </c>
      <c r="CJ17" s="215" t="s">
        <v>542</v>
      </c>
      <c r="CK17" s="215" t="s">
        <v>542</v>
      </c>
      <c r="CL17" s="215" t="s">
        <v>542</v>
      </c>
      <c r="CM17" s="215" t="s">
        <v>542</v>
      </c>
      <c r="CN17" s="215" t="s">
        <v>542</v>
      </c>
      <c r="CO17" s="215" t="s">
        <v>542</v>
      </c>
      <c r="CP17" s="215" t="s">
        <v>542</v>
      </c>
      <c r="CQ17" s="215" t="s">
        <v>542</v>
      </c>
      <c r="CR17" s="215" t="s">
        <v>542</v>
      </c>
      <c r="CS17" s="215" t="s">
        <v>542</v>
      </c>
      <c r="CT17" s="215" t="s">
        <v>542</v>
      </c>
      <c r="CU17" s="215" t="s">
        <v>542</v>
      </c>
      <c r="CV17" s="215" t="s">
        <v>542</v>
      </c>
      <c r="CW17" s="215" t="s">
        <v>542</v>
      </c>
      <c r="CX17" s="215" t="s">
        <v>542</v>
      </c>
      <c r="CY17" s="215" t="s">
        <v>542</v>
      </c>
      <c r="CZ17" s="215" t="s">
        <v>542</v>
      </c>
      <c r="DA17" s="215" t="s">
        <v>542</v>
      </c>
      <c r="DB17" s="215" t="s">
        <v>542</v>
      </c>
      <c r="DC17" s="215" t="s">
        <v>542</v>
      </c>
      <c r="DD17" s="215" t="s">
        <v>542</v>
      </c>
      <c r="DE17" s="215" t="s">
        <v>542</v>
      </c>
      <c r="DF17" s="215" t="s">
        <v>542</v>
      </c>
      <c r="DG17" s="215" t="s">
        <v>542</v>
      </c>
      <c r="DH17" s="215" t="s">
        <v>542</v>
      </c>
      <c r="DI17" s="215" t="s">
        <v>542</v>
      </c>
      <c r="DJ17" s="215" t="s">
        <v>542</v>
      </c>
      <c r="DK17" s="215" t="s">
        <v>542</v>
      </c>
      <c r="DL17" s="215">
        <v>0</v>
      </c>
      <c r="DM17" s="215" t="s">
        <v>542</v>
      </c>
      <c r="DN17" s="215" t="s">
        <v>542</v>
      </c>
      <c r="DO17" s="215" t="s">
        <v>542</v>
      </c>
      <c r="DP17" s="215" t="s">
        <v>542</v>
      </c>
      <c r="DQ17" s="215" t="s">
        <v>542</v>
      </c>
      <c r="DR17" s="215" t="s">
        <v>542</v>
      </c>
      <c r="DS17" s="215">
        <v>0</v>
      </c>
      <c r="DT17" s="215" t="s">
        <v>542</v>
      </c>
      <c r="DU17" s="215" t="s">
        <v>542</v>
      </c>
      <c r="DV17" s="215" t="s">
        <v>542</v>
      </c>
      <c r="DW17" s="215" t="s">
        <v>542</v>
      </c>
      <c r="DX17" s="215" t="s">
        <v>542</v>
      </c>
      <c r="DY17" s="215">
        <v>0</v>
      </c>
      <c r="DZ17" s="215" t="s">
        <v>542</v>
      </c>
      <c r="EA17" s="215" t="s">
        <v>542</v>
      </c>
      <c r="EB17" s="215" t="s">
        <v>542</v>
      </c>
      <c r="EC17" s="215" t="s">
        <v>542</v>
      </c>
      <c r="ED17" s="215" t="s">
        <v>542</v>
      </c>
      <c r="EE17" s="215">
        <v>0</v>
      </c>
      <c r="EF17" s="215" t="s">
        <v>542</v>
      </c>
      <c r="EG17" s="215" t="s">
        <v>542</v>
      </c>
      <c r="EH17" s="215" t="s">
        <v>542</v>
      </c>
      <c r="EI17" s="215" t="s">
        <v>542</v>
      </c>
      <c r="EJ17" s="215" t="s">
        <v>542</v>
      </c>
      <c r="EK17" s="215">
        <v>0</v>
      </c>
      <c r="EL17" s="215" t="s">
        <v>542</v>
      </c>
      <c r="EM17" s="215" t="s">
        <v>542</v>
      </c>
      <c r="EN17" s="215" t="s">
        <v>542</v>
      </c>
      <c r="EO17" s="215" t="s">
        <v>542</v>
      </c>
      <c r="EP17" s="215" t="s">
        <v>542</v>
      </c>
      <c r="EQ17" s="215">
        <v>0</v>
      </c>
      <c r="ER17" s="215" t="s">
        <v>542</v>
      </c>
      <c r="ES17" s="215">
        <v>0</v>
      </c>
      <c r="ET17" s="215" t="s">
        <v>542</v>
      </c>
      <c r="EU17" s="215" t="s">
        <v>542</v>
      </c>
      <c r="EV17" s="215" t="s">
        <v>542</v>
      </c>
      <c r="EW17" s="215" t="s">
        <v>542</v>
      </c>
      <c r="EX17" s="215" t="s">
        <v>542</v>
      </c>
      <c r="EY17" s="215" t="s">
        <v>542</v>
      </c>
      <c r="EZ17" s="215">
        <v>0</v>
      </c>
      <c r="FA17" s="215" t="s">
        <v>542</v>
      </c>
      <c r="FB17" s="215" t="s">
        <v>542</v>
      </c>
      <c r="FC17" s="215" t="s">
        <v>542</v>
      </c>
      <c r="FD17" s="215" t="s">
        <v>542</v>
      </c>
      <c r="FE17" s="215" t="s">
        <v>542</v>
      </c>
      <c r="FF17" s="215">
        <v>0</v>
      </c>
      <c r="FG17" s="215" t="s">
        <v>542</v>
      </c>
      <c r="FH17" s="215" t="s">
        <v>542</v>
      </c>
      <c r="FI17" s="215" t="s">
        <v>542</v>
      </c>
      <c r="FJ17" s="215" t="s">
        <v>542</v>
      </c>
      <c r="FK17" s="215" t="s">
        <v>542</v>
      </c>
      <c r="FL17" s="215" t="s">
        <v>588</v>
      </c>
      <c r="FM17" s="215" t="s">
        <v>542</v>
      </c>
      <c r="FN17" s="215" t="s">
        <v>542</v>
      </c>
      <c r="FO17" s="215" t="s">
        <v>542</v>
      </c>
      <c r="FP17" s="215" t="s">
        <v>542</v>
      </c>
      <c r="FQ17" s="215" t="s">
        <v>542</v>
      </c>
      <c r="FR17" s="215" t="s">
        <v>588</v>
      </c>
      <c r="FS17" s="215" t="s">
        <v>542</v>
      </c>
      <c r="FT17" s="215" t="s">
        <v>542</v>
      </c>
      <c r="FU17" s="215" t="s">
        <v>542</v>
      </c>
      <c r="FV17" s="215" t="s">
        <v>542</v>
      </c>
      <c r="FW17" s="215" t="s">
        <v>542</v>
      </c>
      <c r="FX17" s="215" t="s">
        <v>588</v>
      </c>
      <c r="FY17" s="215" t="s">
        <v>542</v>
      </c>
      <c r="FZ17" s="215" t="s">
        <v>588</v>
      </c>
      <c r="GA17" s="215" t="s">
        <v>542</v>
      </c>
      <c r="GB17" s="215" t="s">
        <v>542</v>
      </c>
      <c r="GC17" s="215" t="s">
        <v>542</v>
      </c>
      <c r="GD17" s="215" t="s">
        <v>542</v>
      </c>
      <c r="GE17" s="215" t="s">
        <v>542</v>
      </c>
      <c r="GF17" s="215" t="s">
        <v>542</v>
      </c>
      <c r="GG17" s="215" t="s">
        <v>542</v>
      </c>
      <c r="GH17" s="215" t="s">
        <v>588</v>
      </c>
      <c r="GI17" s="215" t="s">
        <v>542</v>
      </c>
      <c r="GJ17" s="215" t="s">
        <v>588</v>
      </c>
    </row>
    <row r="18" spans="1:192" x14ac:dyDescent="0.2">
      <c r="A18" s="215" t="s">
        <v>564</v>
      </c>
      <c r="B18" s="215">
        <v>2024</v>
      </c>
      <c r="C18" s="215" t="s">
        <v>541</v>
      </c>
      <c r="D18" s="215" t="s">
        <v>541</v>
      </c>
      <c r="E18" s="215" t="s">
        <v>541</v>
      </c>
      <c r="F18" s="215" t="s">
        <v>542</v>
      </c>
      <c r="G18" s="215" t="s">
        <v>542</v>
      </c>
      <c r="H18" s="215" t="s">
        <v>542</v>
      </c>
      <c r="I18" s="215">
        <v>0</v>
      </c>
      <c r="J18" s="215" t="s">
        <v>541</v>
      </c>
      <c r="K18" s="215" t="s">
        <v>541</v>
      </c>
      <c r="L18" s="215" t="s">
        <v>542</v>
      </c>
      <c r="M18" s="215" t="s">
        <v>542</v>
      </c>
      <c r="N18" s="215" t="s">
        <v>542</v>
      </c>
      <c r="O18" s="215" t="s">
        <v>542</v>
      </c>
      <c r="P18" s="215" t="s">
        <v>542</v>
      </c>
      <c r="Q18" s="215" t="s">
        <v>542</v>
      </c>
      <c r="R18" s="215" t="s">
        <v>542</v>
      </c>
      <c r="S18" s="215">
        <v>0</v>
      </c>
      <c r="T18" s="215" t="s">
        <v>542</v>
      </c>
      <c r="U18" s="215">
        <v>0</v>
      </c>
      <c r="V18" s="215" t="s">
        <v>542</v>
      </c>
      <c r="W18" s="215" t="s">
        <v>542</v>
      </c>
      <c r="X18" s="215" t="s">
        <v>542</v>
      </c>
      <c r="Y18" s="215" t="s">
        <v>542</v>
      </c>
      <c r="Z18" s="215" t="s">
        <v>542</v>
      </c>
      <c r="AA18" s="215" t="s">
        <v>542</v>
      </c>
      <c r="AB18" s="215" t="s">
        <v>542</v>
      </c>
      <c r="AC18" s="215" t="s">
        <v>542</v>
      </c>
      <c r="AD18" s="215" t="s">
        <v>542</v>
      </c>
      <c r="AE18" s="215" t="s">
        <v>542</v>
      </c>
      <c r="AF18" s="215" t="s">
        <v>542</v>
      </c>
      <c r="AG18" s="215">
        <v>0</v>
      </c>
      <c r="AH18" s="215" t="s">
        <v>542</v>
      </c>
      <c r="AI18" s="215" t="s">
        <v>542</v>
      </c>
      <c r="AJ18" s="215">
        <v>0</v>
      </c>
      <c r="AK18" s="215" t="s">
        <v>542</v>
      </c>
      <c r="AL18" s="215">
        <v>0</v>
      </c>
      <c r="AM18" s="215" t="s">
        <v>542</v>
      </c>
      <c r="AN18" s="215" t="s">
        <v>565</v>
      </c>
      <c r="AO18" s="215" t="s">
        <v>542</v>
      </c>
      <c r="AP18" s="215" t="s">
        <v>542</v>
      </c>
      <c r="AQ18" s="215" t="s">
        <v>542</v>
      </c>
      <c r="AR18" s="215" t="s">
        <v>542</v>
      </c>
      <c r="AS18" s="215" t="s">
        <v>542</v>
      </c>
      <c r="AT18" s="215" t="s">
        <v>542</v>
      </c>
      <c r="AU18" s="215" t="s">
        <v>542</v>
      </c>
      <c r="AV18" s="215" t="s">
        <v>542</v>
      </c>
      <c r="AW18" s="215">
        <v>0</v>
      </c>
      <c r="AX18" s="215" t="s">
        <v>542</v>
      </c>
      <c r="AY18" s="215">
        <v>0</v>
      </c>
      <c r="AZ18" s="215" t="s">
        <v>542</v>
      </c>
      <c r="BA18" s="215" t="s">
        <v>542</v>
      </c>
      <c r="BB18" s="215" t="s">
        <v>542</v>
      </c>
      <c r="BC18" s="215" t="s">
        <v>542</v>
      </c>
      <c r="BD18" s="215">
        <v>0</v>
      </c>
      <c r="BE18" s="215" t="s">
        <v>542</v>
      </c>
      <c r="BF18" s="215" t="s">
        <v>542</v>
      </c>
      <c r="BG18" s="215">
        <v>0</v>
      </c>
      <c r="BH18" s="215" t="s">
        <v>542</v>
      </c>
      <c r="BI18" s="215" t="s">
        <v>542</v>
      </c>
      <c r="BJ18" s="215" t="s">
        <v>542</v>
      </c>
      <c r="BK18" s="215" t="s">
        <v>542</v>
      </c>
      <c r="BL18" s="215" t="s">
        <v>588</v>
      </c>
      <c r="BM18" s="215" t="s">
        <v>542</v>
      </c>
      <c r="BN18" s="215" t="s">
        <v>588</v>
      </c>
      <c r="BO18" s="215" t="s">
        <v>542</v>
      </c>
      <c r="BP18" s="215" t="s">
        <v>542</v>
      </c>
      <c r="BQ18" s="215" t="s">
        <v>542</v>
      </c>
      <c r="BR18" s="215" t="s">
        <v>542</v>
      </c>
      <c r="BS18" s="215" t="s">
        <v>542</v>
      </c>
      <c r="BT18" s="215" t="s">
        <v>542</v>
      </c>
      <c r="BU18" s="215" t="s">
        <v>542</v>
      </c>
      <c r="BV18" s="215">
        <v>0</v>
      </c>
      <c r="BW18" s="215" t="s">
        <v>541</v>
      </c>
      <c r="BX18" s="215" t="s">
        <v>541</v>
      </c>
      <c r="BY18" s="215" t="s">
        <v>541</v>
      </c>
      <c r="BZ18" s="215" t="s">
        <v>542</v>
      </c>
      <c r="CA18" s="215" t="s">
        <v>542</v>
      </c>
      <c r="CB18" s="215" t="s">
        <v>542</v>
      </c>
      <c r="CC18" s="215" t="s">
        <v>541</v>
      </c>
      <c r="CD18" s="215" t="s">
        <v>541</v>
      </c>
      <c r="CE18" s="215" t="s">
        <v>542</v>
      </c>
      <c r="CF18" s="215" t="s">
        <v>542</v>
      </c>
      <c r="CG18" s="215" t="s">
        <v>542</v>
      </c>
      <c r="CH18" s="215" t="s">
        <v>541</v>
      </c>
      <c r="CI18" s="215" t="s">
        <v>541</v>
      </c>
      <c r="CJ18" s="215" t="s">
        <v>542</v>
      </c>
      <c r="CK18" s="215" t="s">
        <v>542</v>
      </c>
      <c r="CL18" s="215" t="s">
        <v>542</v>
      </c>
      <c r="CM18" s="215" t="s">
        <v>542</v>
      </c>
      <c r="CN18" s="215" t="s">
        <v>542</v>
      </c>
      <c r="CO18" s="215" t="s">
        <v>542</v>
      </c>
      <c r="CP18" s="215" t="s">
        <v>542</v>
      </c>
      <c r="CQ18" s="215" t="s">
        <v>542</v>
      </c>
      <c r="CR18" s="215" t="s">
        <v>542</v>
      </c>
      <c r="CS18" s="215" t="s">
        <v>542</v>
      </c>
      <c r="CT18" s="215" t="s">
        <v>542</v>
      </c>
      <c r="CU18" s="215" t="s">
        <v>542</v>
      </c>
      <c r="CV18" s="215" t="s">
        <v>542</v>
      </c>
      <c r="CW18" s="215" t="s">
        <v>542</v>
      </c>
      <c r="CX18" s="215" t="s">
        <v>542</v>
      </c>
      <c r="CY18" s="215" t="s">
        <v>542</v>
      </c>
      <c r="CZ18" s="215" t="s">
        <v>542</v>
      </c>
      <c r="DA18" s="215" t="s">
        <v>542</v>
      </c>
      <c r="DB18" s="215" t="s">
        <v>542</v>
      </c>
      <c r="DC18" s="215" t="s">
        <v>542</v>
      </c>
      <c r="DD18" s="215" t="s">
        <v>542</v>
      </c>
      <c r="DE18" s="215" t="s">
        <v>542</v>
      </c>
      <c r="DF18" s="215" t="s">
        <v>542</v>
      </c>
      <c r="DG18" s="215" t="s">
        <v>542</v>
      </c>
      <c r="DH18" s="215" t="s">
        <v>542</v>
      </c>
      <c r="DI18" s="215" t="s">
        <v>542</v>
      </c>
      <c r="DJ18" s="215" t="s">
        <v>542</v>
      </c>
      <c r="DK18" s="215" t="s">
        <v>542</v>
      </c>
      <c r="DL18" s="215">
        <v>0</v>
      </c>
      <c r="DM18" s="215" t="s">
        <v>542</v>
      </c>
      <c r="DN18" s="215" t="s">
        <v>542</v>
      </c>
      <c r="DO18" s="215" t="s">
        <v>542</v>
      </c>
      <c r="DP18" s="215" t="s">
        <v>542</v>
      </c>
      <c r="DQ18" s="215" t="s">
        <v>542</v>
      </c>
      <c r="DR18" s="215" t="s">
        <v>542</v>
      </c>
      <c r="DS18" s="215">
        <v>0</v>
      </c>
      <c r="DT18" s="215" t="s">
        <v>542</v>
      </c>
      <c r="DU18" s="215" t="s">
        <v>542</v>
      </c>
      <c r="DV18" s="215" t="s">
        <v>542</v>
      </c>
      <c r="DW18" s="215" t="s">
        <v>542</v>
      </c>
      <c r="DX18" s="215" t="s">
        <v>542</v>
      </c>
      <c r="DY18" s="215">
        <v>0</v>
      </c>
      <c r="DZ18" s="215" t="s">
        <v>542</v>
      </c>
      <c r="EA18" s="215" t="s">
        <v>542</v>
      </c>
      <c r="EB18" s="215" t="s">
        <v>542</v>
      </c>
      <c r="EC18" s="215" t="s">
        <v>542</v>
      </c>
      <c r="ED18" s="215" t="s">
        <v>542</v>
      </c>
      <c r="EE18" s="215">
        <v>0</v>
      </c>
      <c r="EF18" s="215" t="s">
        <v>542</v>
      </c>
      <c r="EG18" s="215" t="s">
        <v>542</v>
      </c>
      <c r="EH18" s="215" t="s">
        <v>542</v>
      </c>
      <c r="EI18" s="215" t="s">
        <v>542</v>
      </c>
      <c r="EJ18" s="215" t="s">
        <v>542</v>
      </c>
      <c r="EK18" s="215">
        <v>0</v>
      </c>
      <c r="EL18" s="215" t="s">
        <v>542</v>
      </c>
      <c r="EM18" s="215" t="s">
        <v>542</v>
      </c>
      <c r="EN18" s="215" t="s">
        <v>542</v>
      </c>
      <c r="EO18" s="215" t="s">
        <v>542</v>
      </c>
      <c r="EP18" s="215" t="s">
        <v>542</v>
      </c>
      <c r="EQ18" s="215">
        <v>0</v>
      </c>
      <c r="ER18" s="215" t="s">
        <v>542</v>
      </c>
      <c r="ES18" s="215">
        <v>0</v>
      </c>
      <c r="ET18" s="215" t="s">
        <v>542</v>
      </c>
      <c r="EU18" s="215" t="s">
        <v>542</v>
      </c>
      <c r="EV18" s="215" t="s">
        <v>542</v>
      </c>
      <c r="EW18" s="215" t="s">
        <v>542</v>
      </c>
      <c r="EX18" s="215" t="s">
        <v>542</v>
      </c>
      <c r="EY18" s="215" t="s">
        <v>542</v>
      </c>
      <c r="EZ18" s="215">
        <v>0</v>
      </c>
      <c r="FA18" s="215" t="s">
        <v>542</v>
      </c>
      <c r="FB18" s="215" t="s">
        <v>542</v>
      </c>
      <c r="FC18" s="215" t="s">
        <v>542</v>
      </c>
      <c r="FD18" s="215" t="s">
        <v>542</v>
      </c>
      <c r="FE18" s="215" t="s">
        <v>542</v>
      </c>
      <c r="FF18" s="215">
        <v>0</v>
      </c>
      <c r="FG18" s="215" t="s">
        <v>542</v>
      </c>
      <c r="FH18" s="215" t="s">
        <v>542</v>
      </c>
      <c r="FI18" s="215" t="s">
        <v>542</v>
      </c>
      <c r="FJ18" s="215" t="s">
        <v>542</v>
      </c>
      <c r="FK18" s="215" t="s">
        <v>542</v>
      </c>
      <c r="FL18" s="215" t="s">
        <v>588</v>
      </c>
      <c r="FM18" s="215" t="s">
        <v>542</v>
      </c>
      <c r="FN18" s="215" t="s">
        <v>542</v>
      </c>
      <c r="FO18" s="215" t="s">
        <v>542</v>
      </c>
      <c r="FP18" s="215" t="s">
        <v>542</v>
      </c>
      <c r="FQ18" s="215" t="s">
        <v>542</v>
      </c>
      <c r="FR18" s="215" t="s">
        <v>588</v>
      </c>
      <c r="FS18" s="215" t="s">
        <v>542</v>
      </c>
      <c r="FT18" s="215" t="s">
        <v>542</v>
      </c>
      <c r="FU18" s="215" t="s">
        <v>542</v>
      </c>
      <c r="FV18" s="215" t="s">
        <v>542</v>
      </c>
      <c r="FW18" s="215" t="s">
        <v>542</v>
      </c>
      <c r="FX18" s="215" t="s">
        <v>588</v>
      </c>
      <c r="FY18" s="215" t="s">
        <v>542</v>
      </c>
      <c r="FZ18" s="215" t="s">
        <v>588</v>
      </c>
      <c r="GA18" s="215" t="s">
        <v>542</v>
      </c>
      <c r="GB18" s="215" t="s">
        <v>542</v>
      </c>
      <c r="GC18" s="215" t="s">
        <v>542</v>
      </c>
      <c r="GD18" s="215" t="s">
        <v>542</v>
      </c>
      <c r="GE18" s="215" t="s">
        <v>542</v>
      </c>
      <c r="GF18" s="215" t="s">
        <v>542</v>
      </c>
      <c r="GG18" s="215" t="s">
        <v>542</v>
      </c>
      <c r="GH18" s="215" t="s">
        <v>588</v>
      </c>
      <c r="GI18" s="215" t="s">
        <v>542</v>
      </c>
      <c r="GJ18" s="215" t="s">
        <v>588</v>
      </c>
    </row>
    <row r="19" spans="1:192" x14ac:dyDescent="0.2">
      <c r="A19" s="215" t="s">
        <v>566</v>
      </c>
      <c r="B19" s="215">
        <v>2024</v>
      </c>
      <c r="C19" s="215" t="s">
        <v>541</v>
      </c>
      <c r="D19" s="215" t="s">
        <v>541</v>
      </c>
      <c r="E19" s="215" t="s">
        <v>541</v>
      </c>
      <c r="F19" s="215" t="s">
        <v>542</v>
      </c>
      <c r="G19" s="215" t="s">
        <v>542</v>
      </c>
      <c r="H19" s="215" t="s">
        <v>542</v>
      </c>
      <c r="I19" s="215">
        <v>0</v>
      </c>
      <c r="J19" s="215" t="s">
        <v>542</v>
      </c>
      <c r="K19" s="215" t="s">
        <v>542</v>
      </c>
      <c r="L19" s="215" t="s">
        <v>542</v>
      </c>
      <c r="M19" s="215" t="s">
        <v>542</v>
      </c>
      <c r="N19" s="215" t="s">
        <v>542</v>
      </c>
      <c r="O19" s="215" t="s">
        <v>542</v>
      </c>
      <c r="P19" s="215" t="s">
        <v>542</v>
      </c>
      <c r="Q19" s="215" t="s">
        <v>542</v>
      </c>
      <c r="R19" s="215" t="s">
        <v>542</v>
      </c>
      <c r="S19" s="215">
        <v>0</v>
      </c>
      <c r="T19" s="215" t="s">
        <v>542</v>
      </c>
      <c r="U19" s="215">
        <v>0</v>
      </c>
      <c r="V19" s="215" t="s">
        <v>541</v>
      </c>
      <c r="W19" s="215" t="s">
        <v>541</v>
      </c>
      <c r="X19" s="215" t="s">
        <v>541</v>
      </c>
      <c r="Y19" s="215" t="s">
        <v>541</v>
      </c>
      <c r="Z19" s="215" t="s">
        <v>541</v>
      </c>
      <c r="AA19" s="215" t="s">
        <v>541</v>
      </c>
      <c r="AB19" s="215" t="s">
        <v>541</v>
      </c>
      <c r="AC19" s="215" t="s">
        <v>541</v>
      </c>
      <c r="AD19" s="215" t="s">
        <v>542</v>
      </c>
      <c r="AE19" s="215" t="s">
        <v>542</v>
      </c>
      <c r="AF19" s="215" t="s">
        <v>542</v>
      </c>
      <c r="AG19" s="215">
        <v>0</v>
      </c>
      <c r="AH19" s="215" t="s">
        <v>542</v>
      </c>
      <c r="AI19" s="215" t="s">
        <v>542</v>
      </c>
      <c r="AJ19" s="215">
        <v>0</v>
      </c>
      <c r="AK19" s="215" t="s">
        <v>542</v>
      </c>
      <c r="AL19" s="215">
        <v>0</v>
      </c>
      <c r="AM19" s="215" t="s">
        <v>541</v>
      </c>
      <c r="AN19" s="215" t="s">
        <v>567</v>
      </c>
      <c r="AO19" s="215" t="s">
        <v>542</v>
      </c>
      <c r="AP19" s="215" t="s">
        <v>542</v>
      </c>
      <c r="AQ19" s="215" t="s">
        <v>542</v>
      </c>
      <c r="AR19" s="215" t="s">
        <v>542</v>
      </c>
      <c r="AS19" s="215" t="s">
        <v>542</v>
      </c>
      <c r="AT19" s="215" t="s">
        <v>542</v>
      </c>
      <c r="AU19" s="215" t="s">
        <v>542</v>
      </c>
      <c r="AV19" s="215" t="s">
        <v>542</v>
      </c>
      <c r="AW19" s="215">
        <v>0</v>
      </c>
      <c r="AX19" s="215" t="s">
        <v>542</v>
      </c>
      <c r="AY19" s="215">
        <v>0</v>
      </c>
      <c r="AZ19" s="215" t="s">
        <v>542</v>
      </c>
      <c r="BA19" s="215" t="s">
        <v>542</v>
      </c>
      <c r="BB19" s="215" t="s">
        <v>542</v>
      </c>
      <c r="BC19" s="215" t="s">
        <v>542</v>
      </c>
      <c r="BD19" s="215">
        <v>0</v>
      </c>
      <c r="BE19" s="215" t="s">
        <v>542</v>
      </c>
      <c r="BF19" s="215" t="s">
        <v>542</v>
      </c>
      <c r="BG19" s="215">
        <v>0</v>
      </c>
      <c r="BH19" s="215" t="s">
        <v>542</v>
      </c>
      <c r="BI19" s="215" t="s">
        <v>542</v>
      </c>
      <c r="BJ19" s="215" t="s">
        <v>542</v>
      </c>
      <c r="BK19" s="215" t="s">
        <v>542</v>
      </c>
      <c r="BL19" s="215" t="s">
        <v>588</v>
      </c>
      <c r="BM19" s="215" t="s">
        <v>542</v>
      </c>
      <c r="BN19" s="215" t="s">
        <v>588</v>
      </c>
      <c r="BO19" s="215" t="s">
        <v>542</v>
      </c>
      <c r="BP19" s="215" t="s">
        <v>542</v>
      </c>
      <c r="BQ19" s="215" t="s">
        <v>542</v>
      </c>
      <c r="BR19" s="215" t="s">
        <v>542</v>
      </c>
      <c r="BS19" s="215" t="s">
        <v>542</v>
      </c>
      <c r="BT19" s="215" t="s">
        <v>542</v>
      </c>
      <c r="BU19" s="215" t="s">
        <v>542</v>
      </c>
      <c r="BV19" s="215">
        <v>0</v>
      </c>
      <c r="BW19" s="215" t="s">
        <v>542</v>
      </c>
      <c r="BX19" s="215" t="s">
        <v>542</v>
      </c>
      <c r="BY19" s="215" t="s">
        <v>542</v>
      </c>
      <c r="BZ19" s="215" t="s">
        <v>542</v>
      </c>
      <c r="CA19" s="215" t="s">
        <v>542</v>
      </c>
      <c r="CB19" s="215" t="s">
        <v>542</v>
      </c>
      <c r="CC19" s="215" t="s">
        <v>542</v>
      </c>
      <c r="CD19" s="215" t="s">
        <v>542</v>
      </c>
      <c r="CE19" s="215" t="s">
        <v>542</v>
      </c>
      <c r="CF19" s="215" t="s">
        <v>542</v>
      </c>
      <c r="CG19" s="215" t="s">
        <v>542</v>
      </c>
      <c r="CH19" s="215" t="s">
        <v>542</v>
      </c>
      <c r="CI19" s="215" t="s">
        <v>542</v>
      </c>
      <c r="CJ19" s="215" t="s">
        <v>542</v>
      </c>
      <c r="CK19" s="215" t="s">
        <v>542</v>
      </c>
      <c r="CL19" s="215" t="s">
        <v>542</v>
      </c>
      <c r="CM19" s="215" t="s">
        <v>542</v>
      </c>
      <c r="CN19" s="215" t="s">
        <v>542</v>
      </c>
      <c r="CO19" s="215" t="s">
        <v>542</v>
      </c>
      <c r="CP19" s="215" t="s">
        <v>542</v>
      </c>
      <c r="CQ19" s="215" t="s">
        <v>542</v>
      </c>
      <c r="CR19" s="215" t="s">
        <v>542</v>
      </c>
      <c r="CS19" s="215" t="s">
        <v>542</v>
      </c>
      <c r="CT19" s="215" t="s">
        <v>542</v>
      </c>
      <c r="CU19" s="215" t="s">
        <v>542</v>
      </c>
      <c r="CV19" s="215" t="s">
        <v>542</v>
      </c>
      <c r="CW19" s="215" t="s">
        <v>542</v>
      </c>
      <c r="CX19" s="215" t="s">
        <v>542</v>
      </c>
      <c r="CY19" s="215" t="s">
        <v>542</v>
      </c>
      <c r="CZ19" s="215" t="s">
        <v>542</v>
      </c>
      <c r="DA19" s="215" t="s">
        <v>542</v>
      </c>
      <c r="DB19" s="215" t="s">
        <v>542</v>
      </c>
      <c r="DC19" s="215" t="s">
        <v>542</v>
      </c>
      <c r="DD19" s="215" t="s">
        <v>542</v>
      </c>
      <c r="DE19" s="215" t="s">
        <v>542</v>
      </c>
      <c r="DF19" s="215" t="s">
        <v>542</v>
      </c>
      <c r="DG19" s="215" t="s">
        <v>542</v>
      </c>
      <c r="DH19" s="215" t="s">
        <v>542</v>
      </c>
      <c r="DI19" s="215" t="s">
        <v>542</v>
      </c>
      <c r="DJ19" s="215" t="s">
        <v>542</v>
      </c>
      <c r="DK19" s="215" t="s">
        <v>542</v>
      </c>
      <c r="DL19" s="215">
        <v>0</v>
      </c>
      <c r="DM19" s="215" t="s">
        <v>542</v>
      </c>
      <c r="DN19" s="215" t="s">
        <v>542</v>
      </c>
      <c r="DO19" s="215" t="s">
        <v>542</v>
      </c>
      <c r="DP19" s="215" t="s">
        <v>542</v>
      </c>
      <c r="DQ19" s="215" t="s">
        <v>542</v>
      </c>
      <c r="DR19" s="215" t="s">
        <v>542</v>
      </c>
      <c r="DS19" s="215">
        <v>0</v>
      </c>
      <c r="DT19" s="215" t="s">
        <v>542</v>
      </c>
      <c r="DU19" s="215" t="s">
        <v>542</v>
      </c>
      <c r="DV19" s="215" t="s">
        <v>542</v>
      </c>
      <c r="DW19" s="215" t="s">
        <v>542</v>
      </c>
      <c r="DX19" s="215" t="s">
        <v>542</v>
      </c>
      <c r="DY19" s="215">
        <v>0</v>
      </c>
      <c r="DZ19" s="215" t="s">
        <v>542</v>
      </c>
      <c r="EA19" s="215" t="s">
        <v>542</v>
      </c>
      <c r="EB19" s="215" t="s">
        <v>542</v>
      </c>
      <c r="EC19" s="215" t="s">
        <v>542</v>
      </c>
      <c r="ED19" s="215" t="s">
        <v>542</v>
      </c>
      <c r="EE19" s="215">
        <v>0</v>
      </c>
      <c r="EF19" s="215" t="s">
        <v>542</v>
      </c>
      <c r="EG19" s="215" t="s">
        <v>542</v>
      </c>
      <c r="EH19" s="215" t="s">
        <v>542</v>
      </c>
      <c r="EI19" s="215" t="s">
        <v>542</v>
      </c>
      <c r="EJ19" s="215" t="s">
        <v>542</v>
      </c>
      <c r="EK19" s="215">
        <v>0</v>
      </c>
      <c r="EL19" s="215" t="s">
        <v>542</v>
      </c>
      <c r="EM19" s="215" t="s">
        <v>542</v>
      </c>
      <c r="EN19" s="215" t="s">
        <v>542</v>
      </c>
      <c r="EO19" s="215" t="s">
        <v>542</v>
      </c>
      <c r="EP19" s="215" t="s">
        <v>542</v>
      </c>
      <c r="EQ19" s="215">
        <v>0</v>
      </c>
      <c r="ER19" s="215" t="s">
        <v>542</v>
      </c>
      <c r="ES19" s="215">
        <v>0</v>
      </c>
      <c r="ET19" s="215" t="s">
        <v>542</v>
      </c>
      <c r="EU19" s="215" t="s">
        <v>542</v>
      </c>
      <c r="EV19" s="215" t="s">
        <v>542</v>
      </c>
      <c r="EW19" s="215" t="s">
        <v>542</v>
      </c>
      <c r="EX19" s="215" t="s">
        <v>542</v>
      </c>
      <c r="EY19" s="215" t="s">
        <v>542</v>
      </c>
      <c r="EZ19" s="215">
        <v>0</v>
      </c>
      <c r="FA19" s="215" t="s">
        <v>542</v>
      </c>
      <c r="FB19" s="215" t="s">
        <v>542</v>
      </c>
      <c r="FC19" s="215" t="s">
        <v>542</v>
      </c>
      <c r="FD19" s="215" t="s">
        <v>542</v>
      </c>
      <c r="FE19" s="215" t="s">
        <v>542</v>
      </c>
      <c r="FF19" s="215">
        <v>0</v>
      </c>
      <c r="FG19" s="215" t="s">
        <v>542</v>
      </c>
      <c r="FH19" s="215" t="s">
        <v>542</v>
      </c>
      <c r="FI19" s="215" t="s">
        <v>542</v>
      </c>
      <c r="FJ19" s="215" t="s">
        <v>542</v>
      </c>
      <c r="FK19" s="215" t="s">
        <v>542</v>
      </c>
      <c r="FL19" s="215" t="s">
        <v>588</v>
      </c>
      <c r="FM19" s="215" t="s">
        <v>542</v>
      </c>
      <c r="FN19" s="215" t="s">
        <v>542</v>
      </c>
      <c r="FO19" s="215" t="s">
        <v>542</v>
      </c>
      <c r="FP19" s="215" t="s">
        <v>542</v>
      </c>
      <c r="FQ19" s="215" t="s">
        <v>542</v>
      </c>
      <c r="FR19" s="215" t="s">
        <v>588</v>
      </c>
      <c r="FS19" s="215" t="s">
        <v>542</v>
      </c>
      <c r="FT19" s="215" t="s">
        <v>542</v>
      </c>
      <c r="FU19" s="215" t="s">
        <v>542</v>
      </c>
      <c r="FV19" s="215" t="s">
        <v>542</v>
      </c>
      <c r="FW19" s="215" t="s">
        <v>542</v>
      </c>
      <c r="FX19" s="215" t="s">
        <v>588</v>
      </c>
      <c r="FY19" s="215" t="s">
        <v>542</v>
      </c>
      <c r="FZ19" s="215" t="s">
        <v>588</v>
      </c>
      <c r="GA19" s="215" t="s">
        <v>542</v>
      </c>
      <c r="GB19" s="215" t="s">
        <v>542</v>
      </c>
      <c r="GC19" s="215" t="s">
        <v>542</v>
      </c>
      <c r="GD19" s="215" t="s">
        <v>542</v>
      </c>
      <c r="GE19" s="215" t="s">
        <v>542</v>
      </c>
      <c r="GF19" s="215" t="s">
        <v>542</v>
      </c>
      <c r="GG19" s="215" t="s">
        <v>542</v>
      </c>
      <c r="GH19" s="215" t="s">
        <v>588</v>
      </c>
      <c r="GI19" s="215" t="s">
        <v>542</v>
      </c>
      <c r="GJ19" s="215" t="s">
        <v>588</v>
      </c>
    </row>
    <row r="20" spans="1:192" x14ac:dyDescent="0.2">
      <c r="A20" s="215" t="s">
        <v>568</v>
      </c>
      <c r="B20" s="215">
        <v>2024</v>
      </c>
      <c r="C20" s="215" t="s">
        <v>541</v>
      </c>
      <c r="D20" s="215" t="s">
        <v>541</v>
      </c>
      <c r="E20" s="215" t="s">
        <v>541</v>
      </c>
      <c r="F20" s="215" t="s">
        <v>542</v>
      </c>
      <c r="G20" s="215" t="s">
        <v>542</v>
      </c>
      <c r="H20" s="215" t="s">
        <v>542</v>
      </c>
      <c r="I20" s="215">
        <v>0</v>
      </c>
      <c r="J20" s="215" t="s">
        <v>542</v>
      </c>
      <c r="K20" s="215" t="s">
        <v>542</v>
      </c>
      <c r="L20" s="215" t="s">
        <v>542</v>
      </c>
      <c r="M20" s="215" t="s">
        <v>542</v>
      </c>
      <c r="N20" s="215" t="s">
        <v>542</v>
      </c>
      <c r="O20" s="215" t="s">
        <v>542</v>
      </c>
      <c r="P20" s="215" t="s">
        <v>542</v>
      </c>
      <c r="Q20" s="215" t="s">
        <v>542</v>
      </c>
      <c r="R20" s="215" t="s">
        <v>542</v>
      </c>
      <c r="S20" s="215">
        <v>0</v>
      </c>
      <c r="T20" s="215" t="s">
        <v>542</v>
      </c>
      <c r="U20" s="215">
        <v>0</v>
      </c>
      <c r="V20" s="215" t="s">
        <v>542</v>
      </c>
      <c r="W20" s="215" t="s">
        <v>542</v>
      </c>
      <c r="X20" s="215" t="s">
        <v>542</v>
      </c>
      <c r="Y20" s="215" t="s">
        <v>542</v>
      </c>
      <c r="Z20" s="215" t="s">
        <v>542</v>
      </c>
      <c r="AA20" s="215" t="s">
        <v>542</v>
      </c>
      <c r="AB20" s="215" t="s">
        <v>542</v>
      </c>
      <c r="AC20" s="215" t="s">
        <v>542</v>
      </c>
      <c r="AD20" s="215" t="s">
        <v>542</v>
      </c>
      <c r="AE20" s="215" t="s">
        <v>542</v>
      </c>
      <c r="AF20" s="215" t="s">
        <v>542</v>
      </c>
      <c r="AG20" s="215">
        <v>0</v>
      </c>
      <c r="AH20" s="215" t="s">
        <v>542</v>
      </c>
      <c r="AI20" s="215" t="s">
        <v>542</v>
      </c>
      <c r="AJ20" s="215">
        <v>0</v>
      </c>
      <c r="AK20" s="215" t="s">
        <v>542</v>
      </c>
      <c r="AL20" s="215">
        <v>0</v>
      </c>
      <c r="AM20" s="215" t="s">
        <v>542</v>
      </c>
      <c r="AN20" s="215" t="s">
        <v>565</v>
      </c>
      <c r="AO20" s="215" t="s">
        <v>542</v>
      </c>
      <c r="AP20" s="215" t="s">
        <v>542</v>
      </c>
      <c r="AQ20" s="215" t="s">
        <v>542</v>
      </c>
      <c r="AR20" s="215" t="s">
        <v>542</v>
      </c>
      <c r="AS20" s="215" t="s">
        <v>542</v>
      </c>
      <c r="AT20" s="215" t="s">
        <v>542</v>
      </c>
      <c r="AU20" s="215" t="s">
        <v>542</v>
      </c>
      <c r="AV20" s="215" t="s">
        <v>542</v>
      </c>
      <c r="AW20" s="215">
        <v>0</v>
      </c>
      <c r="AX20" s="215" t="s">
        <v>542</v>
      </c>
      <c r="AY20" s="215">
        <v>0</v>
      </c>
      <c r="AZ20" s="215" t="s">
        <v>542</v>
      </c>
      <c r="BA20" s="215" t="s">
        <v>542</v>
      </c>
      <c r="BB20" s="215" t="s">
        <v>542</v>
      </c>
      <c r="BC20" s="215" t="s">
        <v>542</v>
      </c>
      <c r="BD20" s="215">
        <v>0</v>
      </c>
      <c r="BE20" s="215" t="s">
        <v>542</v>
      </c>
      <c r="BF20" s="215" t="s">
        <v>542</v>
      </c>
      <c r="BG20" s="215">
        <v>0</v>
      </c>
      <c r="BH20" s="215" t="s">
        <v>542</v>
      </c>
      <c r="BI20" s="215" t="s">
        <v>542</v>
      </c>
      <c r="BJ20" s="215" t="s">
        <v>542</v>
      </c>
      <c r="BK20" s="215" t="s">
        <v>542</v>
      </c>
      <c r="BL20" s="215" t="s">
        <v>588</v>
      </c>
      <c r="BM20" s="215" t="s">
        <v>542</v>
      </c>
      <c r="BN20" s="215" t="s">
        <v>588</v>
      </c>
      <c r="BO20" s="215" t="s">
        <v>542</v>
      </c>
      <c r="BP20" s="215" t="s">
        <v>542</v>
      </c>
      <c r="BQ20" s="215" t="s">
        <v>542</v>
      </c>
      <c r="BR20" s="215" t="s">
        <v>542</v>
      </c>
      <c r="BS20" s="215" t="s">
        <v>542</v>
      </c>
      <c r="BT20" s="215" t="s">
        <v>542</v>
      </c>
      <c r="BU20" s="215" t="s">
        <v>542</v>
      </c>
      <c r="BV20" s="215">
        <v>0</v>
      </c>
      <c r="BW20" s="215" t="s">
        <v>541</v>
      </c>
      <c r="BX20" s="215" t="s">
        <v>541</v>
      </c>
      <c r="BY20" s="215" t="s">
        <v>541</v>
      </c>
      <c r="BZ20" s="215" t="s">
        <v>541</v>
      </c>
      <c r="CA20" s="215" t="s">
        <v>541</v>
      </c>
      <c r="CB20" s="215" t="s">
        <v>541</v>
      </c>
      <c r="CC20" s="215" t="s">
        <v>542</v>
      </c>
      <c r="CD20" s="215" t="s">
        <v>542</v>
      </c>
      <c r="CE20" s="215" t="s">
        <v>542</v>
      </c>
      <c r="CF20" s="215" t="s">
        <v>542</v>
      </c>
      <c r="CG20" s="215" t="s">
        <v>542</v>
      </c>
      <c r="CH20" s="215" t="s">
        <v>542</v>
      </c>
      <c r="CI20" s="215" t="s">
        <v>542</v>
      </c>
      <c r="CJ20" s="215" t="s">
        <v>542</v>
      </c>
      <c r="CK20" s="215" t="s">
        <v>542</v>
      </c>
      <c r="CL20" s="215" t="s">
        <v>542</v>
      </c>
      <c r="CM20" s="215" t="s">
        <v>542</v>
      </c>
      <c r="CN20" s="215" t="s">
        <v>541</v>
      </c>
      <c r="CO20" s="215" t="s">
        <v>541</v>
      </c>
      <c r="CP20" s="215" t="s">
        <v>541</v>
      </c>
      <c r="CQ20" s="215" t="s">
        <v>542</v>
      </c>
      <c r="CR20" s="215" t="s">
        <v>542</v>
      </c>
      <c r="CS20" s="215" t="s">
        <v>541</v>
      </c>
      <c r="CT20" s="215" t="s">
        <v>542</v>
      </c>
      <c r="CU20" s="215" t="s">
        <v>542</v>
      </c>
      <c r="CV20" s="215" t="s">
        <v>542</v>
      </c>
      <c r="CW20" s="215" t="s">
        <v>542</v>
      </c>
      <c r="CX20" s="215" t="s">
        <v>541</v>
      </c>
      <c r="CY20" s="215" t="s">
        <v>542</v>
      </c>
      <c r="CZ20" s="215" t="s">
        <v>541</v>
      </c>
      <c r="DA20" s="215" t="s">
        <v>542</v>
      </c>
      <c r="DB20" s="215" t="s">
        <v>542</v>
      </c>
      <c r="DC20" s="215" t="s">
        <v>542</v>
      </c>
      <c r="DD20" s="215" t="s">
        <v>542</v>
      </c>
      <c r="DE20" s="215" t="s">
        <v>542</v>
      </c>
      <c r="DF20" s="215" t="s">
        <v>542</v>
      </c>
      <c r="DG20" s="215" t="s">
        <v>542</v>
      </c>
      <c r="DH20" s="215" t="s">
        <v>542</v>
      </c>
      <c r="DI20" s="215" t="s">
        <v>542</v>
      </c>
      <c r="DJ20" s="215" t="s">
        <v>542</v>
      </c>
      <c r="DK20" s="215" t="s">
        <v>542</v>
      </c>
      <c r="DL20" s="215">
        <v>0</v>
      </c>
      <c r="DM20" s="215" t="s">
        <v>541</v>
      </c>
      <c r="DN20" s="215" t="s">
        <v>541</v>
      </c>
      <c r="DO20" s="215" t="s">
        <v>541</v>
      </c>
      <c r="DP20" s="215" t="s">
        <v>542</v>
      </c>
      <c r="DQ20" s="215" t="s">
        <v>542</v>
      </c>
      <c r="DR20" s="215" t="s">
        <v>542</v>
      </c>
      <c r="DS20" s="215" t="s">
        <v>607</v>
      </c>
      <c r="DT20" s="215" t="s">
        <v>542</v>
      </c>
      <c r="DU20" s="215" t="s">
        <v>542</v>
      </c>
      <c r="DV20" s="215" t="s">
        <v>542</v>
      </c>
      <c r="DW20" s="215" t="s">
        <v>542</v>
      </c>
      <c r="DX20" s="215" t="s">
        <v>542</v>
      </c>
      <c r="DY20" s="215">
        <v>0</v>
      </c>
      <c r="DZ20" s="215" t="s">
        <v>542</v>
      </c>
      <c r="EA20" s="215" t="s">
        <v>542</v>
      </c>
      <c r="EB20" s="215" t="s">
        <v>542</v>
      </c>
      <c r="EC20" s="215" t="s">
        <v>542</v>
      </c>
      <c r="ED20" s="215" t="s">
        <v>542</v>
      </c>
      <c r="EE20" s="215">
        <v>0</v>
      </c>
      <c r="EF20" s="215" t="s">
        <v>542</v>
      </c>
      <c r="EG20" s="215" t="s">
        <v>542</v>
      </c>
      <c r="EH20" s="215" t="s">
        <v>542</v>
      </c>
      <c r="EI20" s="215" t="s">
        <v>542</v>
      </c>
      <c r="EJ20" s="215" t="s">
        <v>542</v>
      </c>
      <c r="EK20" s="215">
        <v>0</v>
      </c>
      <c r="EL20" s="215" t="s">
        <v>542</v>
      </c>
      <c r="EM20" s="215" t="s">
        <v>542</v>
      </c>
      <c r="EN20" s="215" t="s">
        <v>542</v>
      </c>
      <c r="EO20" s="215" t="s">
        <v>542</v>
      </c>
      <c r="EP20" s="215" t="s">
        <v>542</v>
      </c>
      <c r="EQ20" s="215">
        <v>0</v>
      </c>
      <c r="ER20" s="215" t="s">
        <v>542</v>
      </c>
      <c r="ES20" s="215">
        <v>0</v>
      </c>
      <c r="ET20" s="215" t="s">
        <v>542</v>
      </c>
      <c r="EU20" s="215" t="s">
        <v>542</v>
      </c>
      <c r="EV20" s="215" t="s">
        <v>542</v>
      </c>
      <c r="EW20" s="215" t="s">
        <v>542</v>
      </c>
      <c r="EX20" s="215" t="s">
        <v>542</v>
      </c>
      <c r="EY20" s="215" t="s">
        <v>542</v>
      </c>
      <c r="EZ20" s="215">
        <v>0</v>
      </c>
      <c r="FA20" s="215" t="s">
        <v>542</v>
      </c>
      <c r="FB20" s="215" t="s">
        <v>542</v>
      </c>
      <c r="FC20" s="215" t="s">
        <v>542</v>
      </c>
      <c r="FD20" s="215" t="s">
        <v>542</v>
      </c>
      <c r="FE20" s="215" t="s">
        <v>542</v>
      </c>
      <c r="FF20" s="215">
        <v>0</v>
      </c>
      <c r="FG20" s="215" t="s">
        <v>542</v>
      </c>
      <c r="FH20" s="215" t="s">
        <v>542</v>
      </c>
      <c r="FI20" s="215" t="s">
        <v>542</v>
      </c>
      <c r="FJ20" s="215" t="s">
        <v>542</v>
      </c>
      <c r="FK20" s="215" t="s">
        <v>542</v>
      </c>
      <c r="FL20" s="215" t="s">
        <v>588</v>
      </c>
      <c r="FM20" s="215" t="s">
        <v>542</v>
      </c>
      <c r="FN20" s="215" t="s">
        <v>542</v>
      </c>
      <c r="FO20" s="215" t="s">
        <v>542</v>
      </c>
      <c r="FP20" s="215" t="s">
        <v>542</v>
      </c>
      <c r="FQ20" s="215" t="s">
        <v>542</v>
      </c>
      <c r="FR20" s="215" t="s">
        <v>588</v>
      </c>
      <c r="FS20" s="215" t="s">
        <v>542</v>
      </c>
      <c r="FT20" s="215" t="s">
        <v>542</v>
      </c>
      <c r="FU20" s="215" t="s">
        <v>542</v>
      </c>
      <c r="FV20" s="215" t="s">
        <v>542</v>
      </c>
      <c r="FW20" s="215" t="s">
        <v>542</v>
      </c>
      <c r="FX20" s="215" t="s">
        <v>588</v>
      </c>
      <c r="FY20" s="215" t="s">
        <v>542</v>
      </c>
      <c r="FZ20" s="215" t="s">
        <v>588</v>
      </c>
      <c r="GA20" s="215" t="s">
        <v>542</v>
      </c>
      <c r="GB20" s="215" t="s">
        <v>542</v>
      </c>
      <c r="GC20" s="215" t="s">
        <v>542</v>
      </c>
      <c r="GD20" s="215" t="s">
        <v>542</v>
      </c>
      <c r="GE20" s="215" t="s">
        <v>542</v>
      </c>
      <c r="GF20" s="215" t="s">
        <v>542</v>
      </c>
      <c r="GG20" s="215" t="s">
        <v>542</v>
      </c>
      <c r="GH20" s="215" t="s">
        <v>588</v>
      </c>
      <c r="GI20" s="215" t="s">
        <v>542</v>
      </c>
      <c r="GJ20" s="215" t="s">
        <v>588</v>
      </c>
    </row>
    <row r="21" spans="1:192" x14ac:dyDescent="0.2">
      <c r="A21" s="215" t="s">
        <v>569</v>
      </c>
      <c r="B21" s="215">
        <v>2025</v>
      </c>
      <c r="C21" s="215" t="s">
        <v>541</v>
      </c>
      <c r="D21" s="215" t="s">
        <v>542</v>
      </c>
      <c r="E21" s="215" t="s">
        <v>542</v>
      </c>
      <c r="F21" s="215" t="s">
        <v>542</v>
      </c>
      <c r="G21" s="215" t="s">
        <v>542</v>
      </c>
      <c r="H21" s="215" t="s">
        <v>542</v>
      </c>
      <c r="I21" s="215">
        <v>0</v>
      </c>
      <c r="J21" s="215" t="s">
        <v>542</v>
      </c>
      <c r="K21" s="215" t="s">
        <v>542</v>
      </c>
      <c r="L21" s="215" t="s">
        <v>542</v>
      </c>
      <c r="M21" s="215" t="s">
        <v>542</v>
      </c>
      <c r="N21" s="215" t="s">
        <v>542</v>
      </c>
      <c r="O21" s="215" t="s">
        <v>542</v>
      </c>
      <c r="P21" s="215" t="s">
        <v>542</v>
      </c>
      <c r="Q21" s="215" t="s">
        <v>542</v>
      </c>
      <c r="R21" s="215" t="s">
        <v>542</v>
      </c>
      <c r="S21" s="215">
        <v>0</v>
      </c>
      <c r="T21" s="215" t="s">
        <v>542</v>
      </c>
      <c r="U21" s="215">
        <v>0</v>
      </c>
      <c r="V21" s="215" t="s">
        <v>541</v>
      </c>
      <c r="W21" s="215" t="s">
        <v>541</v>
      </c>
      <c r="X21" s="215" t="s">
        <v>541</v>
      </c>
      <c r="Y21" s="215" t="s">
        <v>541</v>
      </c>
      <c r="Z21" s="215" t="s">
        <v>541</v>
      </c>
      <c r="AA21" s="215" t="s">
        <v>541</v>
      </c>
      <c r="AB21" s="215" t="s">
        <v>541</v>
      </c>
      <c r="AC21" s="215" t="s">
        <v>541</v>
      </c>
      <c r="AD21" s="215" t="s">
        <v>542</v>
      </c>
      <c r="AE21" s="215" t="s">
        <v>542</v>
      </c>
      <c r="AF21" s="215" t="s">
        <v>542</v>
      </c>
      <c r="AG21" s="215">
        <v>0</v>
      </c>
      <c r="AH21" s="215" t="s">
        <v>541</v>
      </c>
      <c r="AI21" s="215" t="s">
        <v>542</v>
      </c>
      <c r="AJ21" s="215">
        <v>0</v>
      </c>
      <c r="AK21" s="215" t="s">
        <v>570</v>
      </c>
      <c r="AL21" s="215">
        <v>0</v>
      </c>
      <c r="AM21" s="215" t="s">
        <v>542</v>
      </c>
      <c r="AN21" s="215" t="s">
        <v>565</v>
      </c>
      <c r="AO21" s="215" t="s">
        <v>542</v>
      </c>
      <c r="AP21" s="215" t="s">
        <v>542</v>
      </c>
      <c r="AQ21" s="215" t="s">
        <v>542</v>
      </c>
      <c r="AR21" s="215" t="s">
        <v>542</v>
      </c>
      <c r="AS21" s="215" t="s">
        <v>542</v>
      </c>
      <c r="AT21" s="215" t="s">
        <v>542</v>
      </c>
      <c r="AU21" s="215" t="s">
        <v>542</v>
      </c>
      <c r="AV21" s="215" t="s">
        <v>542</v>
      </c>
      <c r="AW21" s="215">
        <v>0</v>
      </c>
      <c r="AX21" s="215" t="s">
        <v>542</v>
      </c>
      <c r="AY21" s="215">
        <v>0</v>
      </c>
      <c r="AZ21" s="215" t="s">
        <v>542</v>
      </c>
      <c r="BA21" s="215" t="s">
        <v>542</v>
      </c>
      <c r="BB21" s="215" t="s">
        <v>542</v>
      </c>
      <c r="BC21" s="215" t="s">
        <v>542</v>
      </c>
      <c r="BD21" s="215">
        <v>0</v>
      </c>
      <c r="BE21" s="215" t="s">
        <v>542</v>
      </c>
      <c r="BF21" s="215" t="s">
        <v>542</v>
      </c>
      <c r="BG21" s="215">
        <v>0</v>
      </c>
      <c r="BH21" s="215" t="s">
        <v>542</v>
      </c>
      <c r="BI21" s="215" t="s">
        <v>542</v>
      </c>
      <c r="BJ21" s="215" t="s">
        <v>542</v>
      </c>
      <c r="BK21" s="215" t="s">
        <v>542</v>
      </c>
      <c r="BL21" s="215" t="s">
        <v>588</v>
      </c>
      <c r="BM21" s="215" t="s">
        <v>542</v>
      </c>
      <c r="BN21" s="215" t="s">
        <v>588</v>
      </c>
      <c r="BO21" s="215" t="s">
        <v>542</v>
      </c>
      <c r="BP21" s="215" t="s">
        <v>542</v>
      </c>
      <c r="BQ21" s="215" t="s">
        <v>542</v>
      </c>
      <c r="BR21" s="215" t="s">
        <v>542</v>
      </c>
      <c r="BS21" s="215" t="s">
        <v>542</v>
      </c>
      <c r="BT21" s="215" t="s">
        <v>542</v>
      </c>
      <c r="BU21" s="215" t="s">
        <v>542</v>
      </c>
      <c r="BV21" s="215">
        <v>0</v>
      </c>
      <c r="BW21" s="215" t="s">
        <v>542</v>
      </c>
      <c r="BX21" s="215" t="s">
        <v>541</v>
      </c>
      <c r="BY21" s="215" t="s">
        <v>542</v>
      </c>
      <c r="BZ21" s="215" t="s">
        <v>542</v>
      </c>
      <c r="CA21" s="215" t="s">
        <v>542</v>
      </c>
      <c r="CB21" s="215" t="s">
        <v>542</v>
      </c>
      <c r="CC21" s="215" t="s">
        <v>542</v>
      </c>
      <c r="CD21" s="215" t="s">
        <v>542</v>
      </c>
      <c r="CE21" s="215" t="s">
        <v>542</v>
      </c>
      <c r="CF21" s="215" t="s">
        <v>542</v>
      </c>
      <c r="CG21" s="215" t="s">
        <v>542</v>
      </c>
      <c r="CH21" s="215" t="s">
        <v>542</v>
      </c>
      <c r="CI21" s="215" t="s">
        <v>542</v>
      </c>
      <c r="CJ21" s="215" t="s">
        <v>542</v>
      </c>
      <c r="CK21" s="215" t="s">
        <v>542</v>
      </c>
      <c r="CL21" s="215" t="s">
        <v>542</v>
      </c>
      <c r="CM21" s="215" t="s">
        <v>542</v>
      </c>
      <c r="CN21" s="215" t="s">
        <v>542</v>
      </c>
      <c r="CO21" s="215" t="s">
        <v>542</v>
      </c>
      <c r="CP21" s="215" t="s">
        <v>542</v>
      </c>
      <c r="CQ21" s="215" t="s">
        <v>542</v>
      </c>
      <c r="CR21" s="215" t="s">
        <v>542</v>
      </c>
      <c r="CS21" s="215" t="s">
        <v>542</v>
      </c>
      <c r="CT21" s="215" t="s">
        <v>542</v>
      </c>
      <c r="CU21" s="215" t="s">
        <v>542</v>
      </c>
      <c r="CV21" s="215" t="s">
        <v>542</v>
      </c>
      <c r="CW21" s="215" t="s">
        <v>542</v>
      </c>
      <c r="CX21" s="215" t="s">
        <v>542</v>
      </c>
      <c r="CY21" s="215" t="s">
        <v>542</v>
      </c>
      <c r="CZ21" s="215" t="s">
        <v>542</v>
      </c>
      <c r="DA21" s="215" t="s">
        <v>542</v>
      </c>
      <c r="DB21" s="215" t="s">
        <v>542</v>
      </c>
      <c r="DC21" s="215" t="s">
        <v>542</v>
      </c>
      <c r="DD21" s="215" t="s">
        <v>542</v>
      </c>
      <c r="DE21" s="215" t="s">
        <v>542</v>
      </c>
      <c r="DF21" s="215" t="s">
        <v>542</v>
      </c>
      <c r="DG21" s="215" t="s">
        <v>542</v>
      </c>
      <c r="DH21" s="215" t="s">
        <v>542</v>
      </c>
      <c r="DI21" s="215" t="s">
        <v>542</v>
      </c>
      <c r="DJ21" s="215" t="s">
        <v>542</v>
      </c>
      <c r="DK21" s="215" t="s">
        <v>542</v>
      </c>
      <c r="DL21" s="215">
        <v>0</v>
      </c>
      <c r="DM21" s="215" t="s">
        <v>542</v>
      </c>
      <c r="DN21" s="215" t="s">
        <v>542</v>
      </c>
      <c r="DO21" s="215" t="s">
        <v>542</v>
      </c>
      <c r="DP21" s="215" t="s">
        <v>542</v>
      </c>
      <c r="DQ21" s="215" t="s">
        <v>542</v>
      </c>
      <c r="DR21" s="215" t="s">
        <v>542</v>
      </c>
      <c r="DS21" s="215">
        <v>0</v>
      </c>
      <c r="DT21" s="215" t="s">
        <v>542</v>
      </c>
      <c r="DU21" s="215" t="s">
        <v>542</v>
      </c>
      <c r="DV21" s="215" t="s">
        <v>542</v>
      </c>
      <c r="DW21" s="215" t="s">
        <v>542</v>
      </c>
      <c r="DX21" s="215" t="s">
        <v>542</v>
      </c>
      <c r="DY21" s="215">
        <v>0</v>
      </c>
      <c r="DZ21" s="215" t="s">
        <v>542</v>
      </c>
      <c r="EA21" s="215" t="s">
        <v>542</v>
      </c>
      <c r="EB21" s="215" t="s">
        <v>542</v>
      </c>
      <c r="EC21" s="215" t="s">
        <v>542</v>
      </c>
      <c r="ED21" s="215" t="s">
        <v>542</v>
      </c>
      <c r="EE21" s="215">
        <v>0</v>
      </c>
      <c r="EF21" s="215" t="s">
        <v>542</v>
      </c>
      <c r="EG21" s="215" t="s">
        <v>542</v>
      </c>
      <c r="EH21" s="215" t="s">
        <v>542</v>
      </c>
      <c r="EI21" s="215" t="s">
        <v>542</v>
      </c>
      <c r="EJ21" s="215" t="s">
        <v>542</v>
      </c>
      <c r="EK21" s="215">
        <v>0</v>
      </c>
      <c r="EL21" s="215" t="s">
        <v>542</v>
      </c>
      <c r="EM21" s="215" t="s">
        <v>542</v>
      </c>
      <c r="EN21" s="215" t="s">
        <v>542</v>
      </c>
      <c r="EO21" s="215" t="s">
        <v>542</v>
      </c>
      <c r="EP21" s="215" t="s">
        <v>542</v>
      </c>
      <c r="EQ21" s="215">
        <v>0</v>
      </c>
      <c r="ER21" s="215" t="s">
        <v>542</v>
      </c>
      <c r="ES21" s="215">
        <v>0</v>
      </c>
      <c r="ET21" s="215" t="s">
        <v>542</v>
      </c>
      <c r="EU21" s="215" t="s">
        <v>542</v>
      </c>
      <c r="EV21" s="215" t="s">
        <v>542</v>
      </c>
      <c r="EW21" s="215" t="s">
        <v>542</v>
      </c>
      <c r="EX21" s="215" t="s">
        <v>542</v>
      </c>
      <c r="EY21" s="215" t="s">
        <v>542</v>
      </c>
      <c r="EZ21" s="215">
        <v>0</v>
      </c>
      <c r="FA21" s="215" t="s">
        <v>542</v>
      </c>
      <c r="FB21" s="215" t="s">
        <v>542</v>
      </c>
      <c r="FC21" s="215" t="s">
        <v>542</v>
      </c>
      <c r="FD21" s="215" t="s">
        <v>542</v>
      </c>
      <c r="FE21" s="215" t="s">
        <v>542</v>
      </c>
      <c r="FF21" s="215">
        <v>0</v>
      </c>
      <c r="FG21" s="215" t="s">
        <v>542</v>
      </c>
      <c r="FH21" s="215" t="s">
        <v>542</v>
      </c>
      <c r="FI21" s="215" t="s">
        <v>542</v>
      </c>
      <c r="FJ21" s="215" t="s">
        <v>542</v>
      </c>
      <c r="FK21" s="215" t="s">
        <v>542</v>
      </c>
      <c r="FL21" s="215" t="s">
        <v>588</v>
      </c>
      <c r="FM21" s="215" t="s">
        <v>542</v>
      </c>
      <c r="FN21" s="215" t="s">
        <v>542</v>
      </c>
      <c r="FO21" s="215" t="s">
        <v>542</v>
      </c>
      <c r="FP21" s="215" t="s">
        <v>542</v>
      </c>
      <c r="FQ21" s="215" t="s">
        <v>542</v>
      </c>
      <c r="FR21" s="215" t="s">
        <v>588</v>
      </c>
      <c r="FS21" s="215" t="s">
        <v>542</v>
      </c>
      <c r="FT21" s="215" t="s">
        <v>542</v>
      </c>
      <c r="FU21" s="215" t="s">
        <v>542</v>
      </c>
      <c r="FV21" s="215" t="s">
        <v>542</v>
      </c>
      <c r="FW21" s="215" t="s">
        <v>542</v>
      </c>
      <c r="FX21" s="215" t="s">
        <v>588</v>
      </c>
      <c r="FY21" s="215" t="s">
        <v>542</v>
      </c>
      <c r="FZ21" s="215" t="s">
        <v>588</v>
      </c>
      <c r="GA21" s="215" t="s">
        <v>542</v>
      </c>
      <c r="GB21" s="215" t="s">
        <v>542</v>
      </c>
      <c r="GC21" s="215" t="s">
        <v>542</v>
      </c>
      <c r="GD21" s="215" t="s">
        <v>542</v>
      </c>
      <c r="GE21" s="215" t="s">
        <v>542</v>
      </c>
      <c r="GF21" s="215" t="s">
        <v>542</v>
      </c>
      <c r="GG21" s="215" t="s">
        <v>542</v>
      </c>
      <c r="GH21" s="215" t="s">
        <v>588</v>
      </c>
      <c r="GI21" s="215" t="s">
        <v>542</v>
      </c>
      <c r="GJ21" s="215" t="s">
        <v>588</v>
      </c>
    </row>
    <row r="22" spans="1:192" x14ac:dyDescent="0.2">
      <c r="A22" s="215" t="s">
        <v>571</v>
      </c>
      <c r="B22" s="215">
        <v>2024</v>
      </c>
      <c r="C22" s="215" t="s">
        <v>541</v>
      </c>
      <c r="D22" s="215" t="s">
        <v>542</v>
      </c>
      <c r="E22" s="215" t="s">
        <v>542</v>
      </c>
      <c r="F22" s="215" t="s">
        <v>542</v>
      </c>
      <c r="G22" s="215" t="s">
        <v>542</v>
      </c>
      <c r="H22" s="215" t="s">
        <v>542</v>
      </c>
      <c r="I22" s="215">
        <v>0</v>
      </c>
      <c r="J22" s="215" t="s">
        <v>542</v>
      </c>
      <c r="K22" s="215" t="s">
        <v>542</v>
      </c>
      <c r="L22" s="215" t="s">
        <v>542</v>
      </c>
      <c r="M22" s="215" t="s">
        <v>542</v>
      </c>
      <c r="N22" s="215" t="s">
        <v>542</v>
      </c>
      <c r="O22" s="215" t="s">
        <v>542</v>
      </c>
      <c r="P22" s="215" t="s">
        <v>542</v>
      </c>
      <c r="Q22" s="215" t="s">
        <v>542</v>
      </c>
      <c r="R22" s="215" t="s">
        <v>542</v>
      </c>
      <c r="S22" s="215">
        <v>0</v>
      </c>
      <c r="T22" s="215" t="s">
        <v>542</v>
      </c>
      <c r="U22" s="215">
        <v>0</v>
      </c>
      <c r="V22" s="215" t="s">
        <v>542</v>
      </c>
      <c r="W22" s="215" t="s">
        <v>542</v>
      </c>
      <c r="X22" s="215" t="s">
        <v>542</v>
      </c>
      <c r="Y22" s="215" t="s">
        <v>542</v>
      </c>
      <c r="Z22" s="215" t="s">
        <v>542</v>
      </c>
      <c r="AA22" s="215" t="s">
        <v>542</v>
      </c>
      <c r="AB22" s="215" t="s">
        <v>542</v>
      </c>
      <c r="AC22" s="215" t="s">
        <v>542</v>
      </c>
      <c r="AD22" s="215" t="s">
        <v>542</v>
      </c>
      <c r="AE22" s="215" t="s">
        <v>542</v>
      </c>
      <c r="AF22" s="215" t="s">
        <v>542</v>
      </c>
      <c r="AG22" s="215">
        <v>0</v>
      </c>
      <c r="AH22" s="215" t="s">
        <v>542</v>
      </c>
      <c r="AI22" s="215" t="s">
        <v>542</v>
      </c>
      <c r="AJ22" s="215">
        <v>0</v>
      </c>
      <c r="AK22" s="215" t="s">
        <v>570</v>
      </c>
      <c r="AL22" s="215">
        <v>0</v>
      </c>
      <c r="AM22" s="215" t="s">
        <v>542</v>
      </c>
      <c r="AN22" s="215" t="s">
        <v>565</v>
      </c>
      <c r="AO22" s="215" t="s">
        <v>542</v>
      </c>
      <c r="AP22" s="215" t="s">
        <v>542</v>
      </c>
      <c r="AQ22" s="215" t="s">
        <v>542</v>
      </c>
      <c r="AR22" s="215" t="s">
        <v>542</v>
      </c>
      <c r="AS22" s="215" t="s">
        <v>542</v>
      </c>
      <c r="AT22" s="215" t="s">
        <v>542</v>
      </c>
      <c r="AU22" s="215" t="s">
        <v>542</v>
      </c>
      <c r="AV22" s="215" t="s">
        <v>542</v>
      </c>
      <c r="AW22" s="215">
        <v>0</v>
      </c>
      <c r="AX22" s="215" t="s">
        <v>542</v>
      </c>
      <c r="AY22" s="215">
        <v>0</v>
      </c>
      <c r="AZ22" s="215" t="s">
        <v>542</v>
      </c>
      <c r="BA22" s="215" t="s">
        <v>542</v>
      </c>
      <c r="BB22" s="215" t="s">
        <v>542</v>
      </c>
      <c r="BC22" s="215" t="s">
        <v>542</v>
      </c>
      <c r="BD22" s="215">
        <v>0</v>
      </c>
      <c r="BE22" s="215" t="s">
        <v>542</v>
      </c>
      <c r="BF22" s="215" t="s">
        <v>542</v>
      </c>
      <c r="BG22" s="215">
        <v>0</v>
      </c>
      <c r="BH22" s="215" t="s">
        <v>542</v>
      </c>
      <c r="BI22" s="215" t="s">
        <v>542</v>
      </c>
      <c r="BJ22" s="215" t="s">
        <v>542</v>
      </c>
      <c r="BK22" s="215" t="s">
        <v>542</v>
      </c>
      <c r="BL22" s="215" t="s">
        <v>588</v>
      </c>
      <c r="BM22" s="215" t="s">
        <v>542</v>
      </c>
      <c r="BN22" s="215" t="s">
        <v>588</v>
      </c>
      <c r="BO22" s="215" t="s">
        <v>542</v>
      </c>
      <c r="BP22" s="215" t="s">
        <v>542</v>
      </c>
      <c r="BQ22" s="215" t="s">
        <v>542</v>
      </c>
      <c r="BR22" s="215" t="s">
        <v>542</v>
      </c>
      <c r="BS22" s="215" t="s">
        <v>542</v>
      </c>
      <c r="BT22" s="215" t="s">
        <v>542</v>
      </c>
      <c r="BU22" s="215" t="s">
        <v>542</v>
      </c>
      <c r="BV22" s="215">
        <v>0</v>
      </c>
      <c r="BW22" s="215" t="s">
        <v>542</v>
      </c>
      <c r="BX22" s="215" t="s">
        <v>542</v>
      </c>
      <c r="BY22" s="215" t="s">
        <v>542</v>
      </c>
      <c r="BZ22" s="215" t="s">
        <v>542</v>
      </c>
      <c r="CA22" s="215" t="s">
        <v>542</v>
      </c>
      <c r="CB22" s="215" t="s">
        <v>542</v>
      </c>
      <c r="CC22" s="215" t="s">
        <v>542</v>
      </c>
      <c r="CD22" s="215" t="s">
        <v>542</v>
      </c>
      <c r="CE22" s="215" t="s">
        <v>542</v>
      </c>
      <c r="CF22" s="215" t="s">
        <v>542</v>
      </c>
      <c r="CG22" s="215" t="s">
        <v>542</v>
      </c>
      <c r="CH22" s="215" t="s">
        <v>542</v>
      </c>
      <c r="CI22" s="215" t="s">
        <v>542</v>
      </c>
      <c r="CJ22" s="215" t="s">
        <v>542</v>
      </c>
      <c r="CK22" s="215" t="s">
        <v>542</v>
      </c>
      <c r="CL22" s="215" t="s">
        <v>542</v>
      </c>
      <c r="CM22" s="215" t="s">
        <v>542</v>
      </c>
      <c r="CN22" s="215" t="s">
        <v>542</v>
      </c>
      <c r="CO22" s="215" t="s">
        <v>542</v>
      </c>
      <c r="CP22" s="215" t="s">
        <v>542</v>
      </c>
      <c r="CQ22" s="215" t="s">
        <v>542</v>
      </c>
      <c r="CR22" s="215" t="s">
        <v>542</v>
      </c>
      <c r="CS22" s="215" t="s">
        <v>542</v>
      </c>
      <c r="CT22" s="215" t="s">
        <v>542</v>
      </c>
      <c r="CU22" s="215" t="s">
        <v>542</v>
      </c>
      <c r="CV22" s="215" t="s">
        <v>542</v>
      </c>
      <c r="CW22" s="215" t="s">
        <v>542</v>
      </c>
      <c r="CX22" s="215" t="s">
        <v>542</v>
      </c>
      <c r="CY22" s="215" t="s">
        <v>542</v>
      </c>
      <c r="CZ22" s="215" t="s">
        <v>542</v>
      </c>
      <c r="DA22" s="215" t="s">
        <v>542</v>
      </c>
      <c r="DB22" s="215" t="s">
        <v>542</v>
      </c>
      <c r="DC22" s="215" t="s">
        <v>542</v>
      </c>
      <c r="DD22" s="215" t="s">
        <v>542</v>
      </c>
      <c r="DE22" s="215" t="s">
        <v>542</v>
      </c>
      <c r="DF22" s="215" t="s">
        <v>542</v>
      </c>
      <c r="DG22" s="215" t="s">
        <v>542</v>
      </c>
      <c r="DH22" s="215" t="s">
        <v>542</v>
      </c>
      <c r="DI22" s="215" t="s">
        <v>542</v>
      </c>
      <c r="DJ22" s="215" t="s">
        <v>542</v>
      </c>
      <c r="DK22" s="215" t="s">
        <v>542</v>
      </c>
      <c r="DL22" s="215">
        <v>0</v>
      </c>
      <c r="DM22" s="215" t="s">
        <v>542</v>
      </c>
      <c r="DN22" s="215" t="s">
        <v>542</v>
      </c>
      <c r="DO22" s="215" t="s">
        <v>542</v>
      </c>
      <c r="DP22" s="215" t="s">
        <v>542</v>
      </c>
      <c r="DQ22" s="215" t="s">
        <v>542</v>
      </c>
      <c r="DR22" s="215" t="s">
        <v>542</v>
      </c>
      <c r="DS22" s="215">
        <v>0</v>
      </c>
      <c r="DT22" s="215" t="s">
        <v>542</v>
      </c>
      <c r="DU22" s="215" t="s">
        <v>542</v>
      </c>
      <c r="DV22" s="215" t="s">
        <v>542</v>
      </c>
      <c r="DW22" s="215" t="s">
        <v>542</v>
      </c>
      <c r="DX22" s="215" t="s">
        <v>542</v>
      </c>
      <c r="DY22" s="215">
        <v>0</v>
      </c>
      <c r="DZ22" s="215" t="s">
        <v>542</v>
      </c>
      <c r="EA22" s="215" t="s">
        <v>542</v>
      </c>
      <c r="EB22" s="215" t="s">
        <v>542</v>
      </c>
      <c r="EC22" s="215" t="s">
        <v>542</v>
      </c>
      <c r="ED22" s="215" t="s">
        <v>542</v>
      </c>
      <c r="EE22" s="215">
        <v>0</v>
      </c>
      <c r="EF22" s="215" t="s">
        <v>542</v>
      </c>
      <c r="EG22" s="215" t="s">
        <v>542</v>
      </c>
      <c r="EH22" s="215" t="s">
        <v>542</v>
      </c>
      <c r="EI22" s="215" t="s">
        <v>542</v>
      </c>
      <c r="EJ22" s="215" t="s">
        <v>542</v>
      </c>
      <c r="EK22" s="215">
        <v>0</v>
      </c>
      <c r="EL22" s="215" t="s">
        <v>542</v>
      </c>
      <c r="EM22" s="215" t="s">
        <v>542</v>
      </c>
      <c r="EN22" s="215" t="s">
        <v>542</v>
      </c>
      <c r="EO22" s="215" t="s">
        <v>542</v>
      </c>
      <c r="EP22" s="215" t="s">
        <v>542</v>
      </c>
      <c r="EQ22" s="215">
        <v>0</v>
      </c>
      <c r="ER22" s="215" t="s">
        <v>542</v>
      </c>
      <c r="ES22" s="215">
        <v>0</v>
      </c>
      <c r="ET22" s="215" t="s">
        <v>542</v>
      </c>
      <c r="EU22" s="215" t="s">
        <v>542</v>
      </c>
      <c r="EV22" s="215" t="s">
        <v>542</v>
      </c>
      <c r="EW22" s="215" t="s">
        <v>542</v>
      </c>
      <c r="EX22" s="215" t="s">
        <v>542</v>
      </c>
      <c r="EY22" s="215" t="s">
        <v>542</v>
      </c>
      <c r="EZ22" s="215">
        <v>0</v>
      </c>
      <c r="FA22" s="215" t="s">
        <v>542</v>
      </c>
      <c r="FB22" s="215" t="s">
        <v>542</v>
      </c>
      <c r="FC22" s="215" t="s">
        <v>542</v>
      </c>
      <c r="FD22" s="215" t="s">
        <v>542</v>
      </c>
      <c r="FE22" s="215" t="s">
        <v>542</v>
      </c>
      <c r="FF22" s="215">
        <v>0</v>
      </c>
      <c r="FG22" s="215" t="s">
        <v>542</v>
      </c>
      <c r="FH22" s="215" t="s">
        <v>542</v>
      </c>
      <c r="FI22" s="215" t="s">
        <v>542</v>
      </c>
      <c r="FJ22" s="215" t="s">
        <v>542</v>
      </c>
      <c r="FK22" s="215" t="s">
        <v>542</v>
      </c>
      <c r="FL22" s="215" t="s">
        <v>588</v>
      </c>
      <c r="FM22" s="215" t="s">
        <v>542</v>
      </c>
      <c r="FN22" s="215" t="s">
        <v>542</v>
      </c>
      <c r="FO22" s="215" t="s">
        <v>542</v>
      </c>
      <c r="FP22" s="215" t="s">
        <v>542</v>
      </c>
      <c r="FQ22" s="215" t="s">
        <v>542</v>
      </c>
      <c r="FR22" s="215" t="s">
        <v>588</v>
      </c>
      <c r="FS22" s="215" t="s">
        <v>542</v>
      </c>
      <c r="FT22" s="215" t="s">
        <v>542</v>
      </c>
      <c r="FU22" s="215" t="s">
        <v>542</v>
      </c>
      <c r="FV22" s="215" t="s">
        <v>542</v>
      </c>
      <c r="FW22" s="215" t="s">
        <v>542</v>
      </c>
      <c r="FX22" s="215" t="s">
        <v>588</v>
      </c>
      <c r="FY22" s="215" t="s">
        <v>542</v>
      </c>
      <c r="FZ22" s="215" t="s">
        <v>588</v>
      </c>
      <c r="GA22" s="215" t="s">
        <v>542</v>
      </c>
      <c r="GB22" s="215" t="s">
        <v>542</v>
      </c>
      <c r="GC22" s="215" t="s">
        <v>542</v>
      </c>
      <c r="GD22" s="215" t="s">
        <v>542</v>
      </c>
      <c r="GE22" s="215" t="s">
        <v>542</v>
      </c>
      <c r="GF22" s="215" t="s">
        <v>542</v>
      </c>
      <c r="GG22" s="215" t="s">
        <v>542</v>
      </c>
      <c r="GH22" s="215" t="s">
        <v>588</v>
      </c>
      <c r="GI22" s="215" t="s">
        <v>542</v>
      </c>
      <c r="GJ22" s="215" t="s">
        <v>588</v>
      </c>
    </row>
    <row r="23" spans="1:192" x14ac:dyDescent="0.2">
      <c r="A23" s="215" t="s">
        <v>572</v>
      </c>
      <c r="B23" s="215">
        <v>2024</v>
      </c>
      <c r="C23" s="215" t="s">
        <v>541</v>
      </c>
      <c r="D23" s="215" t="s">
        <v>542</v>
      </c>
      <c r="E23" s="215" t="s">
        <v>542</v>
      </c>
      <c r="F23" s="215" t="s">
        <v>542</v>
      </c>
      <c r="G23" s="215" t="s">
        <v>542</v>
      </c>
      <c r="H23" s="215" t="s">
        <v>542</v>
      </c>
      <c r="I23" s="215">
        <v>0</v>
      </c>
      <c r="J23" s="215" t="s">
        <v>541</v>
      </c>
      <c r="K23" s="215" t="s">
        <v>541</v>
      </c>
      <c r="L23" s="215" t="s">
        <v>542</v>
      </c>
      <c r="M23" s="215" t="s">
        <v>542</v>
      </c>
      <c r="N23" s="215" t="s">
        <v>542</v>
      </c>
      <c r="O23" s="215" t="s">
        <v>542</v>
      </c>
      <c r="P23" s="215" t="s">
        <v>542</v>
      </c>
      <c r="Q23" s="215" t="s">
        <v>542</v>
      </c>
      <c r="R23" s="215" t="s">
        <v>542</v>
      </c>
      <c r="S23" s="215">
        <v>0</v>
      </c>
      <c r="T23" s="215" t="s">
        <v>542</v>
      </c>
      <c r="U23" s="215">
        <v>0</v>
      </c>
      <c r="V23" s="215" t="s">
        <v>542</v>
      </c>
      <c r="W23" s="215" t="s">
        <v>542</v>
      </c>
      <c r="X23" s="215" t="s">
        <v>542</v>
      </c>
      <c r="Y23" s="215" t="s">
        <v>542</v>
      </c>
      <c r="Z23" s="215" t="s">
        <v>542</v>
      </c>
      <c r="AA23" s="215" t="s">
        <v>542</v>
      </c>
      <c r="AB23" s="215" t="s">
        <v>542</v>
      </c>
      <c r="AC23" s="215" t="s">
        <v>542</v>
      </c>
      <c r="AD23" s="215" t="s">
        <v>542</v>
      </c>
      <c r="AE23" s="215" t="s">
        <v>542</v>
      </c>
      <c r="AF23" s="215" t="s">
        <v>542</v>
      </c>
      <c r="AG23" s="215">
        <v>0</v>
      </c>
      <c r="AH23" s="215" t="s">
        <v>542</v>
      </c>
      <c r="AI23" s="215" t="s">
        <v>542</v>
      </c>
      <c r="AJ23" s="215">
        <v>0</v>
      </c>
      <c r="AK23" s="215" t="s">
        <v>542</v>
      </c>
      <c r="AL23" s="215">
        <v>0</v>
      </c>
      <c r="AM23" s="215" t="s">
        <v>542</v>
      </c>
      <c r="AN23" s="215" t="s">
        <v>565</v>
      </c>
      <c r="AO23" s="215" t="s">
        <v>542</v>
      </c>
      <c r="AP23" s="215" t="s">
        <v>542</v>
      </c>
      <c r="AQ23" s="215" t="s">
        <v>542</v>
      </c>
      <c r="AR23" s="215" t="s">
        <v>542</v>
      </c>
      <c r="AS23" s="215" t="s">
        <v>542</v>
      </c>
      <c r="AT23" s="215" t="s">
        <v>542</v>
      </c>
      <c r="AU23" s="215" t="s">
        <v>542</v>
      </c>
      <c r="AV23" s="215" t="s">
        <v>542</v>
      </c>
      <c r="AW23" s="215">
        <v>0</v>
      </c>
      <c r="AX23" s="215" t="s">
        <v>542</v>
      </c>
      <c r="AY23" s="215">
        <v>0</v>
      </c>
      <c r="AZ23" s="215" t="s">
        <v>542</v>
      </c>
      <c r="BA23" s="215" t="s">
        <v>542</v>
      </c>
      <c r="BB23" s="215" t="s">
        <v>542</v>
      </c>
      <c r="BC23" s="215" t="s">
        <v>542</v>
      </c>
      <c r="BD23" s="215">
        <v>0</v>
      </c>
      <c r="BE23" s="215" t="s">
        <v>542</v>
      </c>
      <c r="BF23" s="215" t="s">
        <v>542</v>
      </c>
      <c r="BG23" s="215">
        <v>0</v>
      </c>
      <c r="BH23" s="215" t="s">
        <v>542</v>
      </c>
      <c r="BI23" s="215" t="s">
        <v>542</v>
      </c>
      <c r="BJ23" s="215" t="s">
        <v>542</v>
      </c>
      <c r="BK23" s="215" t="s">
        <v>542</v>
      </c>
      <c r="BL23" s="215" t="s">
        <v>588</v>
      </c>
      <c r="BM23" s="215" t="s">
        <v>542</v>
      </c>
      <c r="BN23" s="215" t="s">
        <v>588</v>
      </c>
      <c r="BO23" s="215" t="s">
        <v>542</v>
      </c>
      <c r="BP23" s="215" t="s">
        <v>542</v>
      </c>
      <c r="BQ23" s="215" t="s">
        <v>542</v>
      </c>
      <c r="BR23" s="215" t="s">
        <v>542</v>
      </c>
      <c r="BS23" s="215" t="s">
        <v>542</v>
      </c>
      <c r="BT23" s="215" t="s">
        <v>542</v>
      </c>
      <c r="BU23" s="215" t="s">
        <v>542</v>
      </c>
      <c r="BV23" s="215">
        <v>0</v>
      </c>
      <c r="BW23" s="215" t="s">
        <v>542</v>
      </c>
      <c r="BX23" s="215" t="s">
        <v>542</v>
      </c>
      <c r="BY23" s="215" t="s">
        <v>542</v>
      </c>
      <c r="BZ23" s="215" t="s">
        <v>542</v>
      </c>
      <c r="CA23" s="215" t="s">
        <v>542</v>
      </c>
      <c r="CB23" s="215" t="s">
        <v>542</v>
      </c>
      <c r="CC23" s="215" t="s">
        <v>542</v>
      </c>
      <c r="CD23" s="215" t="s">
        <v>542</v>
      </c>
      <c r="CE23" s="215" t="s">
        <v>542</v>
      </c>
      <c r="CF23" s="215" t="s">
        <v>542</v>
      </c>
      <c r="CG23" s="215" t="s">
        <v>542</v>
      </c>
      <c r="CH23" s="215" t="s">
        <v>542</v>
      </c>
      <c r="CI23" s="215" t="s">
        <v>542</v>
      </c>
      <c r="CJ23" s="215" t="s">
        <v>542</v>
      </c>
      <c r="CK23" s="215" t="s">
        <v>542</v>
      </c>
      <c r="CL23" s="215" t="s">
        <v>542</v>
      </c>
      <c r="CM23" s="215" t="s">
        <v>542</v>
      </c>
      <c r="CN23" s="215" t="s">
        <v>542</v>
      </c>
      <c r="CO23" s="215" t="s">
        <v>542</v>
      </c>
      <c r="CP23" s="215" t="s">
        <v>542</v>
      </c>
      <c r="CQ23" s="215" t="s">
        <v>542</v>
      </c>
      <c r="CR23" s="215" t="s">
        <v>542</v>
      </c>
      <c r="CS23" s="215" t="s">
        <v>542</v>
      </c>
      <c r="CT23" s="215" t="s">
        <v>542</v>
      </c>
      <c r="CU23" s="215" t="s">
        <v>542</v>
      </c>
      <c r="CV23" s="215" t="s">
        <v>542</v>
      </c>
      <c r="CW23" s="215" t="s">
        <v>542</v>
      </c>
      <c r="CX23" s="215" t="s">
        <v>542</v>
      </c>
      <c r="CY23" s="215" t="s">
        <v>542</v>
      </c>
      <c r="CZ23" s="215" t="s">
        <v>542</v>
      </c>
      <c r="DA23" s="215" t="s">
        <v>542</v>
      </c>
      <c r="DB23" s="215" t="s">
        <v>542</v>
      </c>
      <c r="DC23" s="215" t="s">
        <v>542</v>
      </c>
      <c r="DD23" s="215" t="s">
        <v>542</v>
      </c>
      <c r="DE23" s="215" t="s">
        <v>542</v>
      </c>
      <c r="DF23" s="215" t="s">
        <v>542</v>
      </c>
      <c r="DG23" s="215" t="s">
        <v>542</v>
      </c>
      <c r="DH23" s="215" t="s">
        <v>542</v>
      </c>
      <c r="DI23" s="215" t="s">
        <v>542</v>
      </c>
      <c r="DJ23" s="215" t="s">
        <v>542</v>
      </c>
      <c r="DK23" s="215" t="s">
        <v>542</v>
      </c>
      <c r="DL23" s="215">
        <v>0</v>
      </c>
      <c r="DM23" s="215" t="s">
        <v>542</v>
      </c>
      <c r="DN23" s="215" t="s">
        <v>542</v>
      </c>
      <c r="DO23" s="215" t="s">
        <v>542</v>
      </c>
      <c r="DP23" s="215" t="s">
        <v>542</v>
      </c>
      <c r="DQ23" s="215" t="s">
        <v>542</v>
      </c>
      <c r="DR23" s="215" t="s">
        <v>542</v>
      </c>
      <c r="DS23" s="215">
        <v>0</v>
      </c>
      <c r="DT23" s="215" t="s">
        <v>542</v>
      </c>
      <c r="DU23" s="215" t="s">
        <v>542</v>
      </c>
      <c r="DV23" s="215" t="s">
        <v>542</v>
      </c>
      <c r="DW23" s="215" t="s">
        <v>542</v>
      </c>
      <c r="DX23" s="215" t="s">
        <v>542</v>
      </c>
      <c r="DY23" s="215">
        <v>0</v>
      </c>
      <c r="DZ23" s="215" t="s">
        <v>542</v>
      </c>
      <c r="EA23" s="215" t="s">
        <v>542</v>
      </c>
      <c r="EB23" s="215" t="s">
        <v>542</v>
      </c>
      <c r="EC23" s="215" t="s">
        <v>542</v>
      </c>
      <c r="ED23" s="215" t="s">
        <v>542</v>
      </c>
      <c r="EE23" s="215">
        <v>0</v>
      </c>
      <c r="EF23" s="215" t="s">
        <v>542</v>
      </c>
      <c r="EG23" s="215" t="s">
        <v>542</v>
      </c>
      <c r="EH23" s="215" t="s">
        <v>542</v>
      </c>
      <c r="EI23" s="215" t="s">
        <v>542</v>
      </c>
      <c r="EJ23" s="215" t="s">
        <v>542</v>
      </c>
      <c r="EK23" s="215">
        <v>0</v>
      </c>
      <c r="EL23" s="215" t="s">
        <v>542</v>
      </c>
      <c r="EM23" s="215" t="s">
        <v>542</v>
      </c>
      <c r="EN23" s="215" t="s">
        <v>542</v>
      </c>
      <c r="EO23" s="215" t="s">
        <v>542</v>
      </c>
      <c r="EP23" s="215" t="s">
        <v>542</v>
      </c>
      <c r="EQ23" s="215">
        <v>0</v>
      </c>
      <c r="ER23" s="215" t="s">
        <v>542</v>
      </c>
      <c r="ES23" s="215">
        <v>0</v>
      </c>
      <c r="ET23" s="215" t="s">
        <v>542</v>
      </c>
      <c r="EU23" s="215" t="s">
        <v>542</v>
      </c>
      <c r="EV23" s="215" t="s">
        <v>542</v>
      </c>
      <c r="EW23" s="215" t="s">
        <v>542</v>
      </c>
      <c r="EX23" s="215" t="s">
        <v>542</v>
      </c>
      <c r="EY23" s="215" t="s">
        <v>542</v>
      </c>
      <c r="EZ23" s="215">
        <v>0</v>
      </c>
      <c r="FA23" s="215" t="s">
        <v>542</v>
      </c>
      <c r="FB23" s="215" t="s">
        <v>542</v>
      </c>
      <c r="FC23" s="215" t="s">
        <v>542</v>
      </c>
      <c r="FD23" s="215" t="s">
        <v>542</v>
      </c>
      <c r="FE23" s="215" t="s">
        <v>542</v>
      </c>
      <c r="FF23" s="215">
        <v>0</v>
      </c>
      <c r="FG23" s="215" t="s">
        <v>542</v>
      </c>
      <c r="FH23" s="215" t="s">
        <v>542</v>
      </c>
      <c r="FI23" s="215" t="s">
        <v>542</v>
      </c>
      <c r="FJ23" s="215" t="s">
        <v>542</v>
      </c>
      <c r="FK23" s="215" t="s">
        <v>542</v>
      </c>
      <c r="FL23" s="215" t="s">
        <v>588</v>
      </c>
      <c r="FM23" s="215" t="s">
        <v>542</v>
      </c>
      <c r="FN23" s="215" t="s">
        <v>542</v>
      </c>
      <c r="FO23" s="215" t="s">
        <v>542</v>
      </c>
      <c r="FP23" s="215" t="s">
        <v>542</v>
      </c>
      <c r="FQ23" s="215" t="s">
        <v>542</v>
      </c>
      <c r="FR23" s="215" t="s">
        <v>588</v>
      </c>
      <c r="FS23" s="215" t="s">
        <v>542</v>
      </c>
      <c r="FT23" s="215" t="s">
        <v>542</v>
      </c>
      <c r="FU23" s="215" t="s">
        <v>542</v>
      </c>
      <c r="FV23" s="215" t="s">
        <v>542</v>
      </c>
      <c r="FW23" s="215" t="s">
        <v>542</v>
      </c>
      <c r="FX23" s="215" t="s">
        <v>588</v>
      </c>
      <c r="FY23" s="215" t="s">
        <v>542</v>
      </c>
      <c r="FZ23" s="215" t="s">
        <v>588</v>
      </c>
      <c r="GA23" s="215" t="s">
        <v>542</v>
      </c>
      <c r="GB23" s="215" t="s">
        <v>542</v>
      </c>
      <c r="GC23" s="215" t="s">
        <v>542</v>
      </c>
      <c r="GD23" s="215" t="s">
        <v>542</v>
      </c>
      <c r="GE23" s="215" t="s">
        <v>542</v>
      </c>
      <c r="GF23" s="215" t="s">
        <v>542</v>
      </c>
      <c r="GG23" s="215" t="s">
        <v>542</v>
      </c>
      <c r="GH23" s="215" t="s">
        <v>588</v>
      </c>
      <c r="GI23" s="215" t="s">
        <v>542</v>
      </c>
      <c r="GJ23" s="215" t="s">
        <v>588</v>
      </c>
    </row>
    <row r="24" spans="1:192" x14ac:dyDescent="0.2">
      <c r="A24" s="215" t="s">
        <v>573</v>
      </c>
      <c r="B24" s="215">
        <v>2024</v>
      </c>
      <c r="C24" s="215" t="s">
        <v>541</v>
      </c>
      <c r="D24" s="215" t="s">
        <v>542</v>
      </c>
      <c r="E24" s="215" t="s">
        <v>542</v>
      </c>
      <c r="F24" s="215" t="s">
        <v>542</v>
      </c>
      <c r="G24" s="215" t="s">
        <v>542</v>
      </c>
      <c r="H24" s="215" t="s">
        <v>542</v>
      </c>
      <c r="I24" s="215">
        <v>0</v>
      </c>
      <c r="J24" s="215" t="s">
        <v>542</v>
      </c>
      <c r="K24" s="215" t="s">
        <v>542</v>
      </c>
      <c r="L24" s="215" t="s">
        <v>542</v>
      </c>
      <c r="M24" s="215" t="s">
        <v>542</v>
      </c>
      <c r="N24" s="215" t="s">
        <v>542</v>
      </c>
      <c r="O24" s="215" t="s">
        <v>542</v>
      </c>
      <c r="P24" s="215" t="s">
        <v>542</v>
      </c>
      <c r="Q24" s="215" t="s">
        <v>542</v>
      </c>
      <c r="R24" s="215" t="s">
        <v>542</v>
      </c>
      <c r="S24" s="215">
        <v>0</v>
      </c>
      <c r="T24" s="215" t="s">
        <v>542</v>
      </c>
      <c r="U24" s="215">
        <v>0</v>
      </c>
      <c r="V24" s="215" t="s">
        <v>541</v>
      </c>
      <c r="W24" s="215" t="s">
        <v>542</v>
      </c>
      <c r="X24" s="215" t="s">
        <v>542</v>
      </c>
      <c r="Y24" s="215" t="s">
        <v>541</v>
      </c>
      <c r="Z24" s="215" t="s">
        <v>541</v>
      </c>
      <c r="AA24" s="215" t="s">
        <v>541</v>
      </c>
      <c r="AB24" s="215" t="s">
        <v>542</v>
      </c>
      <c r="AC24" s="215" t="s">
        <v>542</v>
      </c>
      <c r="AD24" s="215" t="s">
        <v>542</v>
      </c>
      <c r="AE24" s="215" t="s">
        <v>542</v>
      </c>
      <c r="AF24" s="215" t="s">
        <v>541</v>
      </c>
      <c r="AG24" s="215">
        <v>0</v>
      </c>
      <c r="AH24" s="215" t="s">
        <v>542</v>
      </c>
      <c r="AI24" s="215" t="s">
        <v>542</v>
      </c>
      <c r="AJ24" s="215">
        <v>0</v>
      </c>
      <c r="AK24" s="215" t="s">
        <v>542</v>
      </c>
      <c r="AL24" s="215">
        <v>0</v>
      </c>
      <c r="AM24" s="215" t="s">
        <v>542</v>
      </c>
      <c r="AN24" s="215" t="s">
        <v>565</v>
      </c>
      <c r="AO24" s="215" t="s">
        <v>542</v>
      </c>
      <c r="AP24" s="215" t="s">
        <v>542</v>
      </c>
      <c r="AQ24" s="215" t="s">
        <v>542</v>
      </c>
      <c r="AR24" s="215" t="s">
        <v>542</v>
      </c>
      <c r="AS24" s="215" t="s">
        <v>542</v>
      </c>
      <c r="AT24" s="215" t="s">
        <v>542</v>
      </c>
      <c r="AU24" s="215" t="s">
        <v>542</v>
      </c>
      <c r="AV24" s="215" t="s">
        <v>542</v>
      </c>
      <c r="AW24" s="215">
        <v>0</v>
      </c>
      <c r="AX24" s="215" t="s">
        <v>542</v>
      </c>
      <c r="AY24" s="215">
        <v>0</v>
      </c>
      <c r="AZ24" s="215" t="s">
        <v>542</v>
      </c>
      <c r="BA24" s="215" t="s">
        <v>542</v>
      </c>
      <c r="BB24" s="215" t="s">
        <v>542</v>
      </c>
      <c r="BC24" s="215" t="s">
        <v>542</v>
      </c>
      <c r="BD24" s="215">
        <v>0</v>
      </c>
      <c r="BE24" s="215" t="s">
        <v>542</v>
      </c>
      <c r="BF24" s="215" t="s">
        <v>542</v>
      </c>
      <c r="BG24" s="215">
        <v>0</v>
      </c>
      <c r="BH24" s="215" t="s">
        <v>542</v>
      </c>
      <c r="BI24" s="215" t="s">
        <v>542</v>
      </c>
      <c r="BJ24" s="215" t="s">
        <v>542</v>
      </c>
      <c r="BK24" s="215" t="s">
        <v>542</v>
      </c>
      <c r="BL24" s="215" t="s">
        <v>588</v>
      </c>
      <c r="BM24" s="215" t="s">
        <v>542</v>
      </c>
      <c r="BN24" s="215" t="s">
        <v>588</v>
      </c>
      <c r="BO24" s="215" t="s">
        <v>542</v>
      </c>
      <c r="BP24" s="215" t="s">
        <v>542</v>
      </c>
      <c r="BQ24" s="215" t="s">
        <v>542</v>
      </c>
      <c r="BR24" s="215" t="s">
        <v>542</v>
      </c>
      <c r="BS24" s="215" t="s">
        <v>542</v>
      </c>
      <c r="BT24" s="215" t="s">
        <v>542</v>
      </c>
      <c r="BU24" s="215" t="s">
        <v>542</v>
      </c>
      <c r="BV24" s="215">
        <v>0</v>
      </c>
      <c r="BW24" s="215" t="s">
        <v>542</v>
      </c>
      <c r="BX24" s="215" t="s">
        <v>542</v>
      </c>
      <c r="BY24" s="215" t="s">
        <v>542</v>
      </c>
      <c r="BZ24" s="215" t="s">
        <v>542</v>
      </c>
      <c r="CA24" s="215" t="s">
        <v>542</v>
      </c>
      <c r="CB24" s="215" t="s">
        <v>542</v>
      </c>
      <c r="CC24" s="215" t="s">
        <v>542</v>
      </c>
      <c r="CD24" s="215" t="s">
        <v>542</v>
      </c>
      <c r="CE24" s="215" t="s">
        <v>542</v>
      </c>
      <c r="CF24" s="215" t="s">
        <v>542</v>
      </c>
      <c r="CG24" s="215" t="s">
        <v>542</v>
      </c>
      <c r="CH24" s="215" t="s">
        <v>542</v>
      </c>
      <c r="CI24" s="215" t="s">
        <v>542</v>
      </c>
      <c r="CJ24" s="215" t="s">
        <v>542</v>
      </c>
      <c r="CK24" s="215" t="s">
        <v>542</v>
      </c>
      <c r="CL24" s="215" t="s">
        <v>542</v>
      </c>
      <c r="CM24" s="215" t="s">
        <v>542</v>
      </c>
      <c r="CN24" s="215" t="s">
        <v>542</v>
      </c>
      <c r="CO24" s="215" t="s">
        <v>542</v>
      </c>
      <c r="CP24" s="215" t="s">
        <v>542</v>
      </c>
      <c r="CQ24" s="215" t="s">
        <v>542</v>
      </c>
      <c r="CR24" s="215" t="s">
        <v>542</v>
      </c>
      <c r="CS24" s="215" t="s">
        <v>542</v>
      </c>
      <c r="CT24" s="215" t="s">
        <v>542</v>
      </c>
      <c r="CU24" s="215" t="s">
        <v>542</v>
      </c>
      <c r="CV24" s="215" t="s">
        <v>542</v>
      </c>
      <c r="CW24" s="215" t="s">
        <v>542</v>
      </c>
      <c r="CX24" s="215" t="s">
        <v>542</v>
      </c>
      <c r="CY24" s="215" t="s">
        <v>542</v>
      </c>
      <c r="CZ24" s="215" t="s">
        <v>542</v>
      </c>
      <c r="DA24" s="215" t="s">
        <v>542</v>
      </c>
      <c r="DB24" s="215" t="s">
        <v>542</v>
      </c>
      <c r="DC24" s="215" t="s">
        <v>542</v>
      </c>
      <c r="DD24" s="215" t="s">
        <v>542</v>
      </c>
      <c r="DE24" s="215" t="s">
        <v>542</v>
      </c>
      <c r="DF24" s="215" t="s">
        <v>542</v>
      </c>
      <c r="DG24" s="215" t="s">
        <v>542</v>
      </c>
      <c r="DH24" s="215" t="s">
        <v>542</v>
      </c>
      <c r="DI24" s="215" t="s">
        <v>542</v>
      </c>
      <c r="DJ24" s="215" t="s">
        <v>542</v>
      </c>
      <c r="DK24" s="215" t="s">
        <v>542</v>
      </c>
      <c r="DL24" s="215">
        <v>0</v>
      </c>
      <c r="DM24" s="215" t="s">
        <v>542</v>
      </c>
      <c r="DN24" s="215" t="s">
        <v>542</v>
      </c>
      <c r="DO24" s="215" t="s">
        <v>542</v>
      </c>
      <c r="DP24" s="215" t="s">
        <v>542</v>
      </c>
      <c r="DQ24" s="215" t="s">
        <v>542</v>
      </c>
      <c r="DR24" s="215" t="s">
        <v>542</v>
      </c>
      <c r="DS24" s="215">
        <v>0</v>
      </c>
      <c r="DT24" s="215" t="s">
        <v>542</v>
      </c>
      <c r="DU24" s="215" t="s">
        <v>542</v>
      </c>
      <c r="DV24" s="215" t="s">
        <v>542</v>
      </c>
      <c r="DW24" s="215" t="s">
        <v>542</v>
      </c>
      <c r="DX24" s="215" t="s">
        <v>542</v>
      </c>
      <c r="DY24" s="215">
        <v>0</v>
      </c>
      <c r="DZ24" s="215" t="s">
        <v>542</v>
      </c>
      <c r="EA24" s="215" t="s">
        <v>542</v>
      </c>
      <c r="EB24" s="215" t="s">
        <v>542</v>
      </c>
      <c r="EC24" s="215" t="s">
        <v>542</v>
      </c>
      <c r="ED24" s="215" t="s">
        <v>542</v>
      </c>
      <c r="EE24" s="215">
        <v>0</v>
      </c>
      <c r="EF24" s="215" t="s">
        <v>542</v>
      </c>
      <c r="EG24" s="215" t="s">
        <v>542</v>
      </c>
      <c r="EH24" s="215" t="s">
        <v>542</v>
      </c>
      <c r="EI24" s="215" t="s">
        <v>542</v>
      </c>
      <c r="EJ24" s="215" t="s">
        <v>542</v>
      </c>
      <c r="EK24" s="215">
        <v>0</v>
      </c>
      <c r="EL24" s="215" t="s">
        <v>542</v>
      </c>
      <c r="EM24" s="215" t="s">
        <v>542</v>
      </c>
      <c r="EN24" s="215" t="s">
        <v>542</v>
      </c>
      <c r="EO24" s="215" t="s">
        <v>542</v>
      </c>
      <c r="EP24" s="215" t="s">
        <v>542</v>
      </c>
      <c r="EQ24" s="215">
        <v>0</v>
      </c>
      <c r="ER24" s="215" t="s">
        <v>542</v>
      </c>
      <c r="ES24" s="215">
        <v>0</v>
      </c>
      <c r="ET24" s="215" t="s">
        <v>542</v>
      </c>
      <c r="EU24" s="215" t="s">
        <v>542</v>
      </c>
      <c r="EV24" s="215" t="s">
        <v>542</v>
      </c>
      <c r="EW24" s="215" t="s">
        <v>542</v>
      </c>
      <c r="EX24" s="215" t="s">
        <v>542</v>
      </c>
      <c r="EY24" s="215" t="s">
        <v>542</v>
      </c>
      <c r="EZ24" s="215">
        <v>0</v>
      </c>
      <c r="FA24" s="215" t="s">
        <v>542</v>
      </c>
      <c r="FB24" s="215" t="s">
        <v>542</v>
      </c>
      <c r="FC24" s="215" t="s">
        <v>542</v>
      </c>
      <c r="FD24" s="215" t="s">
        <v>542</v>
      </c>
      <c r="FE24" s="215" t="s">
        <v>542</v>
      </c>
      <c r="FF24" s="215">
        <v>0</v>
      </c>
      <c r="FG24" s="215" t="s">
        <v>542</v>
      </c>
      <c r="FH24" s="215" t="s">
        <v>542</v>
      </c>
      <c r="FI24" s="215" t="s">
        <v>542</v>
      </c>
      <c r="FJ24" s="215" t="s">
        <v>542</v>
      </c>
      <c r="FK24" s="215" t="s">
        <v>542</v>
      </c>
      <c r="FL24" s="215" t="s">
        <v>588</v>
      </c>
      <c r="FM24" s="215" t="s">
        <v>542</v>
      </c>
      <c r="FN24" s="215" t="s">
        <v>542</v>
      </c>
      <c r="FO24" s="215" t="s">
        <v>542</v>
      </c>
      <c r="FP24" s="215" t="s">
        <v>542</v>
      </c>
      <c r="FQ24" s="215" t="s">
        <v>542</v>
      </c>
      <c r="FR24" s="215" t="s">
        <v>588</v>
      </c>
      <c r="FS24" s="215" t="s">
        <v>542</v>
      </c>
      <c r="FT24" s="215" t="s">
        <v>542</v>
      </c>
      <c r="FU24" s="215" t="s">
        <v>542</v>
      </c>
      <c r="FV24" s="215" t="s">
        <v>542</v>
      </c>
      <c r="FW24" s="215" t="s">
        <v>542</v>
      </c>
      <c r="FX24" s="215" t="s">
        <v>588</v>
      </c>
      <c r="FY24" s="215" t="s">
        <v>542</v>
      </c>
      <c r="FZ24" s="215" t="s">
        <v>588</v>
      </c>
      <c r="GA24" s="215" t="s">
        <v>542</v>
      </c>
      <c r="GB24" s="215" t="s">
        <v>542</v>
      </c>
      <c r="GC24" s="215" t="s">
        <v>542</v>
      </c>
      <c r="GD24" s="215" t="s">
        <v>542</v>
      </c>
      <c r="GE24" s="215" t="s">
        <v>542</v>
      </c>
      <c r="GF24" s="215" t="s">
        <v>542</v>
      </c>
      <c r="GG24" s="215" t="s">
        <v>542</v>
      </c>
      <c r="GH24" s="215" t="s">
        <v>588</v>
      </c>
      <c r="GI24" s="215" t="s">
        <v>542</v>
      </c>
      <c r="GJ24" s="215" t="s">
        <v>588</v>
      </c>
    </row>
    <row r="25" spans="1:192" x14ac:dyDescent="0.2">
      <c r="A25" s="215" t="s">
        <v>574</v>
      </c>
      <c r="B25" s="215">
        <v>2024</v>
      </c>
      <c r="C25" s="215" t="s">
        <v>541</v>
      </c>
      <c r="D25" s="215" t="s">
        <v>542</v>
      </c>
      <c r="E25" s="215" t="s">
        <v>542</v>
      </c>
      <c r="F25" s="215" t="s">
        <v>542</v>
      </c>
      <c r="G25" s="215" t="s">
        <v>542</v>
      </c>
      <c r="H25" s="215" t="s">
        <v>542</v>
      </c>
      <c r="I25" s="215">
        <v>0</v>
      </c>
      <c r="J25" s="215" t="s">
        <v>542</v>
      </c>
      <c r="K25" s="215" t="s">
        <v>542</v>
      </c>
      <c r="L25" s="215" t="s">
        <v>542</v>
      </c>
      <c r="M25" s="215" t="s">
        <v>541</v>
      </c>
      <c r="N25" s="215" t="s">
        <v>541</v>
      </c>
      <c r="O25" s="215" t="s">
        <v>541</v>
      </c>
      <c r="P25" s="215" t="s">
        <v>541</v>
      </c>
      <c r="Q25" s="215" t="s">
        <v>542</v>
      </c>
      <c r="R25" s="215" t="s">
        <v>541</v>
      </c>
      <c r="S25" s="215">
        <v>0</v>
      </c>
      <c r="T25" s="215" t="s">
        <v>542</v>
      </c>
      <c r="U25" s="215">
        <v>0</v>
      </c>
      <c r="V25" s="215" t="s">
        <v>542</v>
      </c>
      <c r="W25" s="215" t="s">
        <v>542</v>
      </c>
      <c r="X25" s="215" t="s">
        <v>542</v>
      </c>
      <c r="Y25" s="215" t="s">
        <v>542</v>
      </c>
      <c r="Z25" s="215" t="s">
        <v>541</v>
      </c>
      <c r="AA25" s="215" t="s">
        <v>541</v>
      </c>
      <c r="AB25" s="215" t="s">
        <v>542</v>
      </c>
      <c r="AC25" s="215" t="s">
        <v>542</v>
      </c>
      <c r="AD25" s="215" t="s">
        <v>542</v>
      </c>
      <c r="AE25" s="215" t="s">
        <v>542</v>
      </c>
      <c r="AF25" s="215" t="s">
        <v>542</v>
      </c>
      <c r="AG25" s="215">
        <v>0</v>
      </c>
      <c r="AH25" s="215" t="s">
        <v>542</v>
      </c>
      <c r="AI25" s="215" t="s">
        <v>542</v>
      </c>
      <c r="AJ25" s="215">
        <v>0</v>
      </c>
      <c r="AK25" s="215" t="s">
        <v>542</v>
      </c>
      <c r="AL25" s="215">
        <v>0</v>
      </c>
      <c r="AM25" s="215" t="s">
        <v>542</v>
      </c>
      <c r="AN25" s="215" t="s">
        <v>565</v>
      </c>
      <c r="AO25" s="215" t="s">
        <v>542</v>
      </c>
      <c r="AP25" s="215" t="s">
        <v>542</v>
      </c>
      <c r="AQ25" s="215" t="s">
        <v>542</v>
      </c>
      <c r="AR25" s="215" t="s">
        <v>542</v>
      </c>
      <c r="AS25" s="215" t="s">
        <v>542</v>
      </c>
      <c r="AT25" s="215" t="s">
        <v>542</v>
      </c>
      <c r="AU25" s="215" t="s">
        <v>542</v>
      </c>
      <c r="AV25" s="215" t="s">
        <v>542</v>
      </c>
      <c r="AW25" s="215">
        <v>0</v>
      </c>
      <c r="AX25" s="215" t="s">
        <v>542</v>
      </c>
      <c r="AY25" s="215">
        <v>0</v>
      </c>
      <c r="AZ25" s="215" t="s">
        <v>542</v>
      </c>
      <c r="BA25" s="215" t="s">
        <v>542</v>
      </c>
      <c r="BB25" s="215" t="s">
        <v>542</v>
      </c>
      <c r="BC25" s="215" t="s">
        <v>542</v>
      </c>
      <c r="BD25" s="215">
        <v>0</v>
      </c>
      <c r="BE25" s="215" t="s">
        <v>542</v>
      </c>
      <c r="BF25" s="215" t="s">
        <v>542</v>
      </c>
      <c r="BG25" s="215">
        <v>0</v>
      </c>
      <c r="BH25" s="215" t="s">
        <v>542</v>
      </c>
      <c r="BI25" s="215" t="s">
        <v>542</v>
      </c>
      <c r="BJ25" s="215" t="s">
        <v>542</v>
      </c>
      <c r="BK25" s="215" t="s">
        <v>542</v>
      </c>
      <c r="BL25" s="215" t="s">
        <v>588</v>
      </c>
      <c r="BM25" s="215" t="s">
        <v>542</v>
      </c>
      <c r="BN25" s="215" t="s">
        <v>588</v>
      </c>
      <c r="BO25" s="215" t="s">
        <v>542</v>
      </c>
      <c r="BP25" s="215" t="s">
        <v>542</v>
      </c>
      <c r="BQ25" s="215" t="s">
        <v>542</v>
      </c>
      <c r="BR25" s="215" t="s">
        <v>542</v>
      </c>
      <c r="BS25" s="215" t="s">
        <v>542</v>
      </c>
      <c r="BT25" s="215" t="s">
        <v>542</v>
      </c>
      <c r="BU25" s="215" t="s">
        <v>542</v>
      </c>
      <c r="BV25" s="215">
        <v>0</v>
      </c>
      <c r="BW25" s="215" t="s">
        <v>541</v>
      </c>
      <c r="BX25" s="215" t="s">
        <v>542</v>
      </c>
      <c r="BY25" s="215" t="s">
        <v>542</v>
      </c>
      <c r="BZ25" s="215" t="s">
        <v>542</v>
      </c>
      <c r="CA25" s="215" t="s">
        <v>542</v>
      </c>
      <c r="CB25" s="215" t="s">
        <v>542</v>
      </c>
      <c r="CC25" s="215" t="s">
        <v>542</v>
      </c>
      <c r="CD25" s="215" t="s">
        <v>542</v>
      </c>
      <c r="CE25" s="215" t="s">
        <v>542</v>
      </c>
      <c r="CF25" s="215" t="s">
        <v>542</v>
      </c>
      <c r="CG25" s="215" t="s">
        <v>542</v>
      </c>
      <c r="CH25" s="215" t="s">
        <v>542</v>
      </c>
      <c r="CI25" s="215" t="s">
        <v>542</v>
      </c>
      <c r="CJ25" s="215" t="s">
        <v>542</v>
      </c>
      <c r="CK25" s="215" t="s">
        <v>542</v>
      </c>
      <c r="CL25" s="215" t="s">
        <v>542</v>
      </c>
      <c r="CM25" s="215" t="s">
        <v>542</v>
      </c>
      <c r="CN25" s="215" t="s">
        <v>541</v>
      </c>
      <c r="CO25" s="215" t="s">
        <v>542</v>
      </c>
      <c r="CP25" s="215" t="s">
        <v>542</v>
      </c>
      <c r="CQ25" s="215" t="s">
        <v>542</v>
      </c>
      <c r="CR25" s="215" t="s">
        <v>542</v>
      </c>
      <c r="CS25" s="215" t="s">
        <v>542</v>
      </c>
      <c r="CT25" s="215" t="s">
        <v>542</v>
      </c>
      <c r="CU25" s="215" t="s">
        <v>542</v>
      </c>
      <c r="CV25" s="215" t="s">
        <v>542</v>
      </c>
      <c r="CW25" s="215" t="s">
        <v>542</v>
      </c>
      <c r="CX25" s="215" t="s">
        <v>542</v>
      </c>
      <c r="CY25" s="215" t="s">
        <v>542</v>
      </c>
      <c r="CZ25" s="215" t="s">
        <v>542</v>
      </c>
      <c r="DA25" s="215" t="s">
        <v>542</v>
      </c>
      <c r="DB25" s="215" t="s">
        <v>542</v>
      </c>
      <c r="DC25" s="215" t="s">
        <v>542</v>
      </c>
      <c r="DD25" s="215" t="s">
        <v>542</v>
      </c>
      <c r="DE25" s="215" t="s">
        <v>542</v>
      </c>
      <c r="DF25" s="215" t="s">
        <v>541</v>
      </c>
      <c r="DG25" s="215" t="s">
        <v>542</v>
      </c>
      <c r="DH25" s="215" t="s">
        <v>541</v>
      </c>
      <c r="DI25" s="215" t="s">
        <v>542</v>
      </c>
      <c r="DJ25" s="215" t="s">
        <v>541</v>
      </c>
      <c r="DK25" s="215" t="s">
        <v>542</v>
      </c>
      <c r="DL25" s="215">
        <v>0</v>
      </c>
      <c r="DM25" s="215" t="s">
        <v>541</v>
      </c>
      <c r="DN25" s="215" t="s">
        <v>542</v>
      </c>
      <c r="DO25" s="215" t="s">
        <v>542</v>
      </c>
      <c r="DP25" s="215" t="s">
        <v>542</v>
      </c>
      <c r="DQ25" s="215" t="s">
        <v>542</v>
      </c>
      <c r="DR25" s="215" t="s">
        <v>542</v>
      </c>
      <c r="DS25" s="215">
        <v>0</v>
      </c>
      <c r="DT25" s="215" t="s">
        <v>542</v>
      </c>
      <c r="DU25" s="215" t="s">
        <v>542</v>
      </c>
      <c r="DV25" s="215" t="s">
        <v>542</v>
      </c>
      <c r="DW25" s="215" t="s">
        <v>542</v>
      </c>
      <c r="DX25" s="215" t="s">
        <v>542</v>
      </c>
      <c r="DY25" s="215">
        <v>0</v>
      </c>
      <c r="DZ25" s="215" t="s">
        <v>542</v>
      </c>
      <c r="EA25" s="215" t="s">
        <v>542</v>
      </c>
      <c r="EB25" s="215" t="s">
        <v>542</v>
      </c>
      <c r="EC25" s="215" t="s">
        <v>542</v>
      </c>
      <c r="ED25" s="215" t="s">
        <v>542</v>
      </c>
      <c r="EE25" s="215">
        <v>0</v>
      </c>
      <c r="EF25" s="215" t="s">
        <v>542</v>
      </c>
      <c r="EG25" s="215" t="s">
        <v>542</v>
      </c>
      <c r="EH25" s="215" t="s">
        <v>542</v>
      </c>
      <c r="EI25" s="215" t="s">
        <v>542</v>
      </c>
      <c r="EJ25" s="215" t="s">
        <v>542</v>
      </c>
      <c r="EK25" s="215">
        <v>0</v>
      </c>
      <c r="EL25" s="215" t="s">
        <v>541</v>
      </c>
      <c r="EM25" s="215" t="s">
        <v>541</v>
      </c>
      <c r="EN25" s="215" t="s">
        <v>542</v>
      </c>
      <c r="EO25" s="215" t="s">
        <v>542</v>
      </c>
      <c r="EP25" s="215" t="s">
        <v>542</v>
      </c>
      <c r="EQ25" s="215">
        <v>0.9</v>
      </c>
      <c r="ER25" s="215" t="s">
        <v>542</v>
      </c>
      <c r="ES25" s="215">
        <v>0</v>
      </c>
      <c r="ET25" s="215" t="s">
        <v>542</v>
      </c>
      <c r="EU25" s="215" t="s">
        <v>542</v>
      </c>
      <c r="EV25" s="215" t="s">
        <v>542</v>
      </c>
      <c r="EW25" s="215" t="s">
        <v>542</v>
      </c>
      <c r="EX25" s="215" t="s">
        <v>542</v>
      </c>
      <c r="EY25" s="215" t="s">
        <v>542</v>
      </c>
      <c r="EZ25" s="215">
        <v>0</v>
      </c>
      <c r="FA25" s="215" t="s">
        <v>542</v>
      </c>
      <c r="FB25" s="215" t="s">
        <v>542</v>
      </c>
      <c r="FC25" s="215" t="s">
        <v>542</v>
      </c>
      <c r="FD25" s="215" t="s">
        <v>542</v>
      </c>
      <c r="FE25" s="215" t="s">
        <v>542</v>
      </c>
      <c r="FF25" s="215">
        <v>0</v>
      </c>
      <c r="FG25" s="215" t="s">
        <v>542</v>
      </c>
      <c r="FH25" s="215" t="s">
        <v>542</v>
      </c>
      <c r="FI25" s="215" t="s">
        <v>542</v>
      </c>
      <c r="FJ25" s="215" t="s">
        <v>542</v>
      </c>
      <c r="FK25" s="215" t="s">
        <v>542</v>
      </c>
      <c r="FL25" s="215" t="s">
        <v>588</v>
      </c>
      <c r="FM25" s="215" t="s">
        <v>542</v>
      </c>
      <c r="FN25" s="215" t="s">
        <v>542</v>
      </c>
      <c r="FO25" s="215" t="s">
        <v>542</v>
      </c>
      <c r="FP25" s="215" t="s">
        <v>542</v>
      </c>
      <c r="FQ25" s="215" t="s">
        <v>542</v>
      </c>
      <c r="FR25" s="215" t="s">
        <v>588</v>
      </c>
      <c r="FS25" s="215" t="s">
        <v>542</v>
      </c>
      <c r="FT25" s="215" t="s">
        <v>542</v>
      </c>
      <c r="FU25" s="215" t="s">
        <v>542</v>
      </c>
      <c r="FV25" s="215" t="s">
        <v>542</v>
      </c>
      <c r="FW25" s="215" t="s">
        <v>542</v>
      </c>
      <c r="FX25" s="215" t="s">
        <v>588</v>
      </c>
      <c r="FY25" s="215" t="s">
        <v>542</v>
      </c>
      <c r="FZ25" s="215" t="s">
        <v>588</v>
      </c>
      <c r="GA25" s="215" t="s">
        <v>542</v>
      </c>
      <c r="GB25" s="215" t="s">
        <v>542</v>
      </c>
      <c r="GC25" s="215" t="s">
        <v>542</v>
      </c>
      <c r="GD25" s="215" t="s">
        <v>542</v>
      </c>
      <c r="GE25" s="215" t="s">
        <v>542</v>
      </c>
      <c r="GF25" s="215" t="s">
        <v>542</v>
      </c>
      <c r="GG25" s="215" t="s">
        <v>542</v>
      </c>
      <c r="GH25" s="215" t="s">
        <v>588</v>
      </c>
      <c r="GI25" s="215" t="s">
        <v>542</v>
      </c>
      <c r="GJ25" s="215" t="s">
        <v>588</v>
      </c>
    </row>
    <row r="26" spans="1:192" x14ac:dyDescent="0.2">
      <c r="A26" s="215" t="s">
        <v>575</v>
      </c>
      <c r="B26" s="215">
        <v>2024</v>
      </c>
      <c r="C26" s="215" t="s">
        <v>541</v>
      </c>
      <c r="D26" s="215" t="s">
        <v>542</v>
      </c>
      <c r="E26" s="215" t="s">
        <v>542</v>
      </c>
      <c r="F26" s="215" t="s">
        <v>542</v>
      </c>
      <c r="G26" s="215" t="s">
        <v>542</v>
      </c>
      <c r="H26" s="215" t="s">
        <v>542</v>
      </c>
      <c r="I26" s="215">
        <v>0</v>
      </c>
      <c r="J26" s="215" t="s">
        <v>542</v>
      </c>
      <c r="K26" s="215" t="s">
        <v>542</v>
      </c>
      <c r="L26" s="215" t="s">
        <v>542</v>
      </c>
      <c r="M26" s="215" t="s">
        <v>542</v>
      </c>
      <c r="N26" s="215" t="s">
        <v>542</v>
      </c>
      <c r="O26" s="215" t="s">
        <v>542</v>
      </c>
      <c r="P26" s="215" t="s">
        <v>542</v>
      </c>
      <c r="Q26" s="215" t="s">
        <v>542</v>
      </c>
      <c r="R26" s="215" t="s">
        <v>542</v>
      </c>
      <c r="S26" s="215">
        <v>0</v>
      </c>
      <c r="T26" s="215" t="s">
        <v>542</v>
      </c>
      <c r="U26" s="215">
        <v>0</v>
      </c>
      <c r="V26" s="215" t="s">
        <v>541</v>
      </c>
      <c r="W26" s="215" t="s">
        <v>541</v>
      </c>
      <c r="X26" s="215" t="s">
        <v>541</v>
      </c>
      <c r="Y26" s="215" t="s">
        <v>542</v>
      </c>
      <c r="Z26" s="215" t="s">
        <v>542</v>
      </c>
      <c r="AA26" s="215" t="s">
        <v>541</v>
      </c>
      <c r="AB26" s="215" t="s">
        <v>542</v>
      </c>
      <c r="AC26" s="215" t="s">
        <v>542</v>
      </c>
      <c r="AD26" s="215" t="s">
        <v>542</v>
      </c>
      <c r="AE26" s="215" t="s">
        <v>542</v>
      </c>
      <c r="AF26" s="215" t="s">
        <v>541</v>
      </c>
      <c r="AG26" s="215" t="s">
        <v>576</v>
      </c>
      <c r="AH26" s="215" t="s">
        <v>542</v>
      </c>
      <c r="AI26" s="215" t="s">
        <v>542</v>
      </c>
      <c r="AJ26" s="215">
        <v>0</v>
      </c>
      <c r="AK26" s="215" t="s">
        <v>542</v>
      </c>
      <c r="AL26" s="215">
        <v>0</v>
      </c>
      <c r="AM26" s="215" t="s">
        <v>542</v>
      </c>
      <c r="AN26" s="215" t="s">
        <v>565</v>
      </c>
      <c r="AO26" s="215" t="s">
        <v>542</v>
      </c>
      <c r="AP26" s="215" t="s">
        <v>542</v>
      </c>
      <c r="AQ26" s="215" t="s">
        <v>542</v>
      </c>
      <c r="AR26" s="215" t="s">
        <v>542</v>
      </c>
      <c r="AS26" s="215" t="s">
        <v>542</v>
      </c>
      <c r="AT26" s="215" t="s">
        <v>542</v>
      </c>
      <c r="AU26" s="215" t="s">
        <v>542</v>
      </c>
      <c r="AV26" s="215" t="s">
        <v>542</v>
      </c>
      <c r="AW26" s="215">
        <v>0</v>
      </c>
      <c r="AX26" s="215" t="s">
        <v>542</v>
      </c>
      <c r="AY26" s="215">
        <v>0</v>
      </c>
      <c r="AZ26" s="215" t="s">
        <v>542</v>
      </c>
      <c r="BA26" s="215" t="s">
        <v>542</v>
      </c>
      <c r="BB26" s="215" t="s">
        <v>542</v>
      </c>
      <c r="BC26" s="215" t="s">
        <v>542</v>
      </c>
      <c r="BD26" s="215">
        <v>0</v>
      </c>
      <c r="BE26" s="215" t="s">
        <v>542</v>
      </c>
      <c r="BF26" s="215" t="s">
        <v>542</v>
      </c>
      <c r="BG26" s="215">
        <v>0</v>
      </c>
      <c r="BH26" s="215" t="s">
        <v>542</v>
      </c>
      <c r="BI26" s="215" t="s">
        <v>542</v>
      </c>
      <c r="BJ26" s="215" t="s">
        <v>542</v>
      </c>
      <c r="BK26" s="215" t="s">
        <v>542</v>
      </c>
      <c r="BL26" s="215" t="s">
        <v>588</v>
      </c>
      <c r="BM26" s="215" t="s">
        <v>542</v>
      </c>
      <c r="BN26" s="215" t="s">
        <v>588</v>
      </c>
      <c r="BO26" s="215" t="s">
        <v>542</v>
      </c>
      <c r="BP26" s="215" t="s">
        <v>542</v>
      </c>
      <c r="BQ26" s="215" t="s">
        <v>542</v>
      </c>
      <c r="BR26" s="215" t="s">
        <v>542</v>
      </c>
      <c r="BS26" s="215" t="s">
        <v>542</v>
      </c>
      <c r="BT26" s="215" t="s">
        <v>542</v>
      </c>
      <c r="BU26" s="215" t="s">
        <v>542</v>
      </c>
      <c r="BV26" s="215">
        <v>0</v>
      </c>
      <c r="BW26" s="215" t="s">
        <v>541</v>
      </c>
      <c r="BX26" s="215" t="s">
        <v>542</v>
      </c>
      <c r="BY26" s="215" t="s">
        <v>542</v>
      </c>
      <c r="BZ26" s="215" t="s">
        <v>542</v>
      </c>
      <c r="CA26" s="215" t="s">
        <v>542</v>
      </c>
      <c r="CB26" s="215" t="s">
        <v>542</v>
      </c>
      <c r="CC26" s="215" t="s">
        <v>541</v>
      </c>
      <c r="CD26" s="215" t="s">
        <v>542</v>
      </c>
      <c r="CE26" s="215" t="s">
        <v>542</v>
      </c>
      <c r="CF26" s="215" t="s">
        <v>541</v>
      </c>
      <c r="CG26" s="215" t="s">
        <v>542</v>
      </c>
      <c r="CH26" s="215" t="s">
        <v>541</v>
      </c>
      <c r="CI26" s="215" t="s">
        <v>542</v>
      </c>
      <c r="CJ26" s="215" t="s">
        <v>542</v>
      </c>
      <c r="CK26" s="215" t="s">
        <v>541</v>
      </c>
      <c r="CL26" s="215" t="s">
        <v>542</v>
      </c>
      <c r="CM26" s="215" t="s">
        <v>542</v>
      </c>
      <c r="CN26" s="215" t="s">
        <v>542</v>
      </c>
      <c r="CO26" s="215" t="s">
        <v>542</v>
      </c>
      <c r="CP26" s="215" t="s">
        <v>542</v>
      </c>
      <c r="CQ26" s="215" t="s">
        <v>542</v>
      </c>
      <c r="CR26" s="215" t="s">
        <v>542</v>
      </c>
      <c r="CS26" s="215" t="s">
        <v>542</v>
      </c>
      <c r="CT26" s="215" t="s">
        <v>542</v>
      </c>
      <c r="CU26" s="215" t="s">
        <v>542</v>
      </c>
      <c r="CV26" s="215" t="s">
        <v>542</v>
      </c>
      <c r="CW26" s="215" t="s">
        <v>542</v>
      </c>
      <c r="CX26" s="215" t="s">
        <v>542</v>
      </c>
      <c r="CY26" s="215" t="s">
        <v>542</v>
      </c>
      <c r="CZ26" s="215" t="s">
        <v>542</v>
      </c>
      <c r="DA26" s="215" t="s">
        <v>542</v>
      </c>
      <c r="DB26" s="215" t="s">
        <v>542</v>
      </c>
      <c r="DC26" s="215" t="s">
        <v>542</v>
      </c>
      <c r="DD26" s="215" t="s">
        <v>542</v>
      </c>
      <c r="DE26" s="215" t="s">
        <v>542</v>
      </c>
      <c r="DF26" s="215" t="s">
        <v>542</v>
      </c>
      <c r="DG26" s="215" t="s">
        <v>542</v>
      </c>
      <c r="DH26" s="215" t="s">
        <v>542</v>
      </c>
      <c r="DI26" s="215" t="s">
        <v>542</v>
      </c>
      <c r="DJ26" s="215" t="s">
        <v>542</v>
      </c>
      <c r="DK26" s="215" t="s">
        <v>542</v>
      </c>
      <c r="DL26" s="215">
        <v>0</v>
      </c>
      <c r="DM26" s="215" t="s">
        <v>542</v>
      </c>
      <c r="DN26" s="215" t="s">
        <v>542</v>
      </c>
      <c r="DO26" s="215" t="s">
        <v>542</v>
      </c>
      <c r="DP26" s="215" t="s">
        <v>542</v>
      </c>
      <c r="DQ26" s="215" t="s">
        <v>542</v>
      </c>
      <c r="DR26" s="215" t="s">
        <v>542</v>
      </c>
      <c r="DS26" s="215">
        <v>0</v>
      </c>
      <c r="DT26" s="215" t="s">
        <v>542</v>
      </c>
      <c r="DU26" s="215" t="s">
        <v>542</v>
      </c>
      <c r="DV26" s="215" t="s">
        <v>542</v>
      </c>
      <c r="DW26" s="215" t="s">
        <v>542</v>
      </c>
      <c r="DX26" s="215" t="s">
        <v>542</v>
      </c>
      <c r="DY26" s="215">
        <v>0</v>
      </c>
      <c r="DZ26" s="215" t="s">
        <v>542</v>
      </c>
      <c r="EA26" s="215" t="s">
        <v>542</v>
      </c>
      <c r="EB26" s="215" t="s">
        <v>542</v>
      </c>
      <c r="EC26" s="215" t="s">
        <v>542</v>
      </c>
      <c r="ED26" s="215" t="s">
        <v>542</v>
      </c>
      <c r="EE26" s="215">
        <v>0</v>
      </c>
      <c r="EF26" s="215" t="s">
        <v>542</v>
      </c>
      <c r="EG26" s="215" t="s">
        <v>542</v>
      </c>
      <c r="EH26" s="215" t="s">
        <v>542</v>
      </c>
      <c r="EI26" s="215" t="s">
        <v>542</v>
      </c>
      <c r="EJ26" s="215" t="s">
        <v>542</v>
      </c>
      <c r="EK26" s="215">
        <v>0</v>
      </c>
      <c r="EL26" s="215" t="s">
        <v>542</v>
      </c>
      <c r="EM26" s="215" t="s">
        <v>542</v>
      </c>
      <c r="EN26" s="215" t="s">
        <v>542</v>
      </c>
      <c r="EO26" s="215" t="s">
        <v>542</v>
      </c>
      <c r="EP26" s="215" t="s">
        <v>542</v>
      </c>
      <c r="EQ26" s="215">
        <v>0</v>
      </c>
      <c r="ER26" s="215" t="s">
        <v>542</v>
      </c>
      <c r="ES26" s="215">
        <v>0</v>
      </c>
      <c r="ET26" s="215" t="s">
        <v>542</v>
      </c>
      <c r="EU26" s="215" t="s">
        <v>542</v>
      </c>
      <c r="EV26" s="215" t="s">
        <v>542</v>
      </c>
      <c r="EW26" s="215" t="s">
        <v>542</v>
      </c>
      <c r="EX26" s="215" t="s">
        <v>542</v>
      </c>
      <c r="EY26" s="215" t="s">
        <v>542</v>
      </c>
      <c r="EZ26" s="215">
        <v>0</v>
      </c>
      <c r="FA26" s="215" t="s">
        <v>542</v>
      </c>
      <c r="FB26" s="215" t="s">
        <v>542</v>
      </c>
      <c r="FC26" s="215" t="s">
        <v>542</v>
      </c>
      <c r="FD26" s="215" t="s">
        <v>542</v>
      </c>
      <c r="FE26" s="215" t="s">
        <v>542</v>
      </c>
      <c r="FF26" s="215">
        <v>0</v>
      </c>
      <c r="FG26" s="215" t="s">
        <v>542</v>
      </c>
      <c r="FH26" s="215" t="s">
        <v>542</v>
      </c>
      <c r="FI26" s="215" t="s">
        <v>542</v>
      </c>
      <c r="FJ26" s="215" t="s">
        <v>542</v>
      </c>
      <c r="FK26" s="215" t="s">
        <v>542</v>
      </c>
      <c r="FL26" s="215" t="s">
        <v>588</v>
      </c>
      <c r="FM26" s="215" t="s">
        <v>542</v>
      </c>
      <c r="FN26" s="215" t="s">
        <v>542</v>
      </c>
      <c r="FO26" s="215" t="s">
        <v>542</v>
      </c>
      <c r="FP26" s="215" t="s">
        <v>542</v>
      </c>
      <c r="FQ26" s="215" t="s">
        <v>542</v>
      </c>
      <c r="FR26" s="215" t="s">
        <v>588</v>
      </c>
      <c r="FS26" s="215" t="s">
        <v>542</v>
      </c>
      <c r="FT26" s="215" t="s">
        <v>542</v>
      </c>
      <c r="FU26" s="215" t="s">
        <v>542</v>
      </c>
      <c r="FV26" s="215" t="s">
        <v>542</v>
      </c>
      <c r="FW26" s="215" t="s">
        <v>542</v>
      </c>
      <c r="FX26" s="215" t="s">
        <v>588</v>
      </c>
      <c r="FY26" s="215" t="s">
        <v>542</v>
      </c>
      <c r="FZ26" s="215" t="s">
        <v>588</v>
      </c>
      <c r="GA26" s="215" t="s">
        <v>542</v>
      </c>
      <c r="GB26" s="215" t="s">
        <v>542</v>
      </c>
      <c r="GC26" s="215" t="s">
        <v>542</v>
      </c>
      <c r="GD26" s="215" t="s">
        <v>542</v>
      </c>
      <c r="GE26" s="215" t="s">
        <v>542</v>
      </c>
      <c r="GF26" s="215" t="s">
        <v>542</v>
      </c>
      <c r="GG26" s="215" t="s">
        <v>542</v>
      </c>
      <c r="GH26" s="215" t="s">
        <v>588</v>
      </c>
      <c r="GI26" s="215" t="s">
        <v>542</v>
      </c>
      <c r="GJ26" s="215" t="s">
        <v>588</v>
      </c>
    </row>
    <row r="27" spans="1:192" x14ac:dyDescent="0.2">
      <c r="A27" s="215" t="s">
        <v>577</v>
      </c>
      <c r="B27" s="215">
        <v>2024</v>
      </c>
      <c r="C27" s="215" t="s">
        <v>541</v>
      </c>
      <c r="D27" s="215" t="s">
        <v>541</v>
      </c>
      <c r="E27" s="215" t="s">
        <v>541</v>
      </c>
      <c r="F27" s="215" t="s">
        <v>541</v>
      </c>
      <c r="G27" s="215" t="s">
        <v>542</v>
      </c>
      <c r="H27" s="215" t="s">
        <v>542</v>
      </c>
      <c r="I27" s="215">
        <v>0</v>
      </c>
      <c r="J27" s="215" t="s">
        <v>542</v>
      </c>
      <c r="K27" s="215" t="s">
        <v>542</v>
      </c>
      <c r="L27" s="215" t="s">
        <v>542</v>
      </c>
      <c r="M27" s="215" t="s">
        <v>541</v>
      </c>
      <c r="N27" s="215" t="s">
        <v>542</v>
      </c>
      <c r="O27" s="215" t="s">
        <v>542</v>
      </c>
      <c r="P27" s="215" t="s">
        <v>542</v>
      </c>
      <c r="Q27" s="215" t="s">
        <v>542</v>
      </c>
      <c r="R27" s="215" t="s">
        <v>542</v>
      </c>
      <c r="S27" s="215">
        <v>0</v>
      </c>
      <c r="T27" s="215" t="s">
        <v>542</v>
      </c>
      <c r="U27" s="215">
        <v>0</v>
      </c>
      <c r="V27" s="215" t="s">
        <v>541</v>
      </c>
      <c r="W27" s="215" t="s">
        <v>541</v>
      </c>
      <c r="X27" s="215" t="s">
        <v>542</v>
      </c>
      <c r="Y27" s="215" t="s">
        <v>542</v>
      </c>
      <c r="Z27" s="215" t="s">
        <v>542</v>
      </c>
      <c r="AA27" s="215" t="s">
        <v>542</v>
      </c>
      <c r="AB27" s="215" t="s">
        <v>542</v>
      </c>
      <c r="AC27" s="215" t="s">
        <v>542</v>
      </c>
      <c r="AD27" s="215" t="s">
        <v>542</v>
      </c>
      <c r="AE27" s="215" t="s">
        <v>542</v>
      </c>
      <c r="AF27" s="215" t="s">
        <v>541</v>
      </c>
      <c r="AG27" s="215" t="s">
        <v>578</v>
      </c>
      <c r="AH27" s="215" t="s">
        <v>542</v>
      </c>
      <c r="AI27" s="215" t="s">
        <v>542</v>
      </c>
      <c r="AJ27" s="215">
        <v>0</v>
      </c>
      <c r="AK27" s="215" t="s">
        <v>542</v>
      </c>
      <c r="AL27" s="215">
        <v>0</v>
      </c>
      <c r="AM27" s="215" t="s">
        <v>542</v>
      </c>
      <c r="AN27" s="215" t="s">
        <v>565</v>
      </c>
      <c r="AO27" s="215" t="s">
        <v>541</v>
      </c>
      <c r="AP27" s="215" t="s">
        <v>542</v>
      </c>
      <c r="AQ27" s="215" t="s">
        <v>542</v>
      </c>
      <c r="AR27" s="215" t="s">
        <v>542</v>
      </c>
      <c r="AS27" s="215" t="s">
        <v>541</v>
      </c>
      <c r="AT27" s="215" t="s">
        <v>541</v>
      </c>
      <c r="AU27" s="215" t="s">
        <v>542</v>
      </c>
      <c r="AV27" s="215" t="s">
        <v>542</v>
      </c>
      <c r="AW27" s="215">
        <v>0</v>
      </c>
      <c r="AX27" s="215" t="s">
        <v>542</v>
      </c>
      <c r="AY27" s="215">
        <v>0</v>
      </c>
      <c r="AZ27" s="215" t="s">
        <v>542</v>
      </c>
      <c r="BA27" s="215" t="s">
        <v>542</v>
      </c>
      <c r="BB27" s="215" t="s">
        <v>542</v>
      </c>
      <c r="BC27" s="215" t="s">
        <v>542</v>
      </c>
      <c r="BD27" s="215">
        <v>0</v>
      </c>
      <c r="BE27" s="215" t="s">
        <v>542</v>
      </c>
      <c r="BF27" s="215" t="s">
        <v>542</v>
      </c>
      <c r="BG27" s="215">
        <v>0</v>
      </c>
      <c r="BH27" s="215" t="s">
        <v>542</v>
      </c>
      <c r="BI27" s="215" t="s">
        <v>542</v>
      </c>
      <c r="BJ27" s="215" t="s">
        <v>542</v>
      </c>
      <c r="BK27" s="215" t="s">
        <v>542</v>
      </c>
      <c r="BL27" s="215" t="s">
        <v>588</v>
      </c>
      <c r="BM27" s="215" t="s">
        <v>542</v>
      </c>
      <c r="BN27" s="215" t="s">
        <v>588</v>
      </c>
      <c r="BO27" s="215" t="s">
        <v>542</v>
      </c>
      <c r="BP27" s="215" t="s">
        <v>542</v>
      </c>
      <c r="BQ27" s="215" t="s">
        <v>542</v>
      </c>
      <c r="BR27" s="215" t="s">
        <v>542</v>
      </c>
      <c r="BS27" s="215" t="s">
        <v>542</v>
      </c>
      <c r="BT27" s="215" t="s">
        <v>542</v>
      </c>
      <c r="BU27" s="215" t="s">
        <v>542</v>
      </c>
      <c r="BV27" s="215">
        <v>0</v>
      </c>
      <c r="BW27" s="215" t="s">
        <v>542</v>
      </c>
      <c r="BX27" s="215" t="s">
        <v>542</v>
      </c>
      <c r="BY27" s="215" t="s">
        <v>542</v>
      </c>
      <c r="BZ27" s="215" t="s">
        <v>542</v>
      </c>
      <c r="CA27" s="215" t="s">
        <v>542</v>
      </c>
      <c r="CB27" s="215" t="s">
        <v>542</v>
      </c>
      <c r="CC27" s="215" t="s">
        <v>542</v>
      </c>
      <c r="CD27" s="215" t="s">
        <v>542</v>
      </c>
      <c r="CE27" s="215" t="s">
        <v>542</v>
      </c>
      <c r="CF27" s="215" t="s">
        <v>542</v>
      </c>
      <c r="CG27" s="215" t="s">
        <v>542</v>
      </c>
      <c r="CH27" s="215" t="s">
        <v>542</v>
      </c>
      <c r="CI27" s="215" t="s">
        <v>542</v>
      </c>
      <c r="CJ27" s="215" t="s">
        <v>542</v>
      </c>
      <c r="CK27" s="215" t="s">
        <v>542</v>
      </c>
      <c r="CL27" s="215" t="s">
        <v>542</v>
      </c>
      <c r="CM27" s="215" t="s">
        <v>542</v>
      </c>
      <c r="CN27" s="215" t="s">
        <v>541</v>
      </c>
      <c r="CO27" s="215" t="s">
        <v>542</v>
      </c>
      <c r="CP27" s="215" t="s">
        <v>542</v>
      </c>
      <c r="CQ27" s="215" t="s">
        <v>542</v>
      </c>
      <c r="CR27" s="215" t="s">
        <v>542</v>
      </c>
      <c r="CS27" s="215" t="s">
        <v>542</v>
      </c>
      <c r="CT27" s="215" t="s">
        <v>542</v>
      </c>
      <c r="CU27" s="215" t="s">
        <v>542</v>
      </c>
      <c r="CV27" s="215" t="s">
        <v>542</v>
      </c>
      <c r="CW27" s="215" t="s">
        <v>542</v>
      </c>
      <c r="CX27" s="215" t="s">
        <v>542</v>
      </c>
      <c r="CY27" s="215" t="s">
        <v>542</v>
      </c>
      <c r="CZ27" s="215" t="s">
        <v>542</v>
      </c>
      <c r="DA27" s="215" t="s">
        <v>542</v>
      </c>
      <c r="DB27" s="215" t="s">
        <v>542</v>
      </c>
      <c r="DC27" s="215" t="s">
        <v>542</v>
      </c>
      <c r="DD27" s="215" t="s">
        <v>542</v>
      </c>
      <c r="DE27" s="215" t="s">
        <v>542</v>
      </c>
      <c r="DF27" s="215" t="s">
        <v>541</v>
      </c>
      <c r="DG27" s="215" t="s">
        <v>542</v>
      </c>
      <c r="DH27" s="215" t="s">
        <v>542</v>
      </c>
      <c r="DI27" s="215" t="s">
        <v>542</v>
      </c>
      <c r="DJ27" s="215" t="s">
        <v>541</v>
      </c>
      <c r="DK27" s="215" t="s">
        <v>542</v>
      </c>
      <c r="DL27" s="215">
        <v>0</v>
      </c>
      <c r="DM27" s="215" t="s">
        <v>542</v>
      </c>
      <c r="DN27" s="215" t="s">
        <v>542</v>
      </c>
      <c r="DO27" s="215" t="s">
        <v>542</v>
      </c>
      <c r="DP27" s="215" t="s">
        <v>542</v>
      </c>
      <c r="DQ27" s="215" t="s">
        <v>542</v>
      </c>
      <c r="DR27" s="215" t="s">
        <v>542</v>
      </c>
      <c r="DS27" s="215">
        <v>0</v>
      </c>
      <c r="DT27" s="215" t="s">
        <v>542</v>
      </c>
      <c r="DU27" s="215" t="s">
        <v>542</v>
      </c>
      <c r="DV27" s="215" t="s">
        <v>542</v>
      </c>
      <c r="DW27" s="215" t="s">
        <v>542</v>
      </c>
      <c r="DX27" s="215" t="s">
        <v>542</v>
      </c>
      <c r="DY27" s="215">
        <v>0</v>
      </c>
      <c r="DZ27" s="215" t="s">
        <v>542</v>
      </c>
      <c r="EA27" s="215" t="s">
        <v>542</v>
      </c>
      <c r="EB27" s="215" t="s">
        <v>542</v>
      </c>
      <c r="EC27" s="215" t="s">
        <v>542</v>
      </c>
      <c r="ED27" s="215" t="s">
        <v>542</v>
      </c>
      <c r="EE27" s="215">
        <v>0</v>
      </c>
      <c r="EF27" s="215" t="s">
        <v>542</v>
      </c>
      <c r="EG27" s="215" t="s">
        <v>542</v>
      </c>
      <c r="EH27" s="215" t="s">
        <v>542</v>
      </c>
      <c r="EI27" s="215" t="s">
        <v>542</v>
      </c>
      <c r="EJ27" s="215" t="s">
        <v>542</v>
      </c>
      <c r="EK27" s="215">
        <v>0</v>
      </c>
      <c r="EL27" s="215" t="s">
        <v>542</v>
      </c>
      <c r="EM27" s="215" t="s">
        <v>542</v>
      </c>
      <c r="EN27" s="215" t="s">
        <v>542</v>
      </c>
      <c r="EO27" s="215" t="s">
        <v>542</v>
      </c>
      <c r="EP27" s="215" t="s">
        <v>542</v>
      </c>
      <c r="EQ27" s="215">
        <v>0</v>
      </c>
      <c r="ER27" s="215" t="s">
        <v>542</v>
      </c>
      <c r="ES27" s="215">
        <v>0</v>
      </c>
      <c r="ET27" s="215" t="s">
        <v>542</v>
      </c>
      <c r="EU27" s="215" t="s">
        <v>542</v>
      </c>
      <c r="EV27" s="215" t="s">
        <v>542</v>
      </c>
      <c r="EW27" s="215" t="s">
        <v>542</v>
      </c>
      <c r="EX27" s="215" t="s">
        <v>542</v>
      </c>
      <c r="EY27" s="215" t="s">
        <v>542</v>
      </c>
      <c r="EZ27" s="215">
        <v>0</v>
      </c>
      <c r="FA27" s="215" t="s">
        <v>542</v>
      </c>
      <c r="FB27" s="215" t="s">
        <v>542</v>
      </c>
      <c r="FC27" s="215" t="s">
        <v>542</v>
      </c>
      <c r="FD27" s="215" t="s">
        <v>542</v>
      </c>
      <c r="FE27" s="215" t="s">
        <v>542</v>
      </c>
      <c r="FF27" s="215">
        <v>0</v>
      </c>
      <c r="FG27" s="215" t="s">
        <v>542</v>
      </c>
      <c r="FH27" s="215" t="s">
        <v>542</v>
      </c>
      <c r="FI27" s="215" t="s">
        <v>542</v>
      </c>
      <c r="FJ27" s="215" t="s">
        <v>542</v>
      </c>
      <c r="FK27" s="215" t="s">
        <v>542</v>
      </c>
      <c r="FL27" s="215" t="s">
        <v>588</v>
      </c>
      <c r="FM27" s="215" t="s">
        <v>542</v>
      </c>
      <c r="FN27" s="215" t="s">
        <v>542</v>
      </c>
      <c r="FO27" s="215" t="s">
        <v>542</v>
      </c>
      <c r="FP27" s="215" t="s">
        <v>542</v>
      </c>
      <c r="FQ27" s="215" t="s">
        <v>542</v>
      </c>
      <c r="FR27" s="215" t="s">
        <v>588</v>
      </c>
      <c r="FS27" s="215" t="s">
        <v>542</v>
      </c>
      <c r="FT27" s="215" t="s">
        <v>542</v>
      </c>
      <c r="FU27" s="215" t="s">
        <v>542</v>
      </c>
      <c r="FV27" s="215" t="s">
        <v>542</v>
      </c>
      <c r="FW27" s="215" t="s">
        <v>542</v>
      </c>
      <c r="FX27" s="215" t="s">
        <v>588</v>
      </c>
      <c r="FY27" s="215" t="s">
        <v>542</v>
      </c>
      <c r="FZ27" s="215" t="s">
        <v>588</v>
      </c>
      <c r="GA27" s="215" t="s">
        <v>542</v>
      </c>
      <c r="GB27" s="215" t="s">
        <v>542</v>
      </c>
      <c r="GC27" s="215" t="s">
        <v>542</v>
      </c>
      <c r="GD27" s="215" t="s">
        <v>542</v>
      </c>
      <c r="GE27" s="215" t="s">
        <v>542</v>
      </c>
      <c r="GF27" s="215" t="s">
        <v>542</v>
      </c>
      <c r="GG27" s="215" t="s">
        <v>542</v>
      </c>
      <c r="GH27" s="215" t="s">
        <v>588</v>
      </c>
      <c r="GI27" s="215" t="s">
        <v>542</v>
      </c>
      <c r="GJ27" s="215" t="s">
        <v>588</v>
      </c>
    </row>
    <row r="28" spans="1:192" x14ac:dyDescent="0.2">
      <c r="A28" s="215" t="s">
        <v>579</v>
      </c>
      <c r="B28" s="215">
        <v>2025</v>
      </c>
      <c r="C28" s="215" t="s">
        <v>541</v>
      </c>
      <c r="D28" s="215" t="s">
        <v>541</v>
      </c>
      <c r="E28" s="215" t="s">
        <v>541</v>
      </c>
      <c r="F28" s="215" t="s">
        <v>541</v>
      </c>
      <c r="G28" s="215" t="s">
        <v>542</v>
      </c>
      <c r="H28" s="215" t="s">
        <v>541</v>
      </c>
      <c r="I28" s="215" t="s">
        <v>580</v>
      </c>
      <c r="J28" s="215" t="s">
        <v>542</v>
      </c>
      <c r="K28" s="215" t="s">
        <v>542</v>
      </c>
      <c r="L28" s="215" t="s">
        <v>542</v>
      </c>
      <c r="M28" s="215" t="s">
        <v>542</v>
      </c>
      <c r="N28" s="215" t="s">
        <v>542</v>
      </c>
      <c r="O28" s="215" t="s">
        <v>542</v>
      </c>
      <c r="P28" s="215" t="s">
        <v>542</v>
      </c>
      <c r="Q28" s="215" t="s">
        <v>542</v>
      </c>
      <c r="R28" s="215" t="s">
        <v>542</v>
      </c>
      <c r="S28" s="215">
        <v>0</v>
      </c>
      <c r="T28" s="215" t="s">
        <v>542</v>
      </c>
      <c r="U28" s="215">
        <v>0</v>
      </c>
      <c r="V28" s="215" t="s">
        <v>542</v>
      </c>
      <c r="W28" s="215" t="s">
        <v>542</v>
      </c>
      <c r="X28" s="215" t="s">
        <v>542</v>
      </c>
      <c r="Y28" s="215" t="s">
        <v>542</v>
      </c>
      <c r="Z28" s="215" t="s">
        <v>542</v>
      </c>
      <c r="AA28" s="215" t="s">
        <v>542</v>
      </c>
      <c r="AB28" s="215" t="s">
        <v>542</v>
      </c>
      <c r="AC28" s="215" t="s">
        <v>542</v>
      </c>
      <c r="AD28" s="215" t="s">
        <v>542</v>
      </c>
      <c r="AE28" s="215" t="s">
        <v>542</v>
      </c>
      <c r="AF28" s="215" t="s">
        <v>542</v>
      </c>
      <c r="AG28" s="215">
        <v>0</v>
      </c>
      <c r="AH28" s="215" t="s">
        <v>542</v>
      </c>
      <c r="AI28" s="215" t="s">
        <v>542</v>
      </c>
      <c r="AJ28" s="215">
        <v>0</v>
      </c>
      <c r="AK28" s="215" t="s">
        <v>542</v>
      </c>
      <c r="AL28" s="215">
        <v>0</v>
      </c>
      <c r="AM28" s="215" t="s">
        <v>542</v>
      </c>
      <c r="AN28" s="215" t="s">
        <v>565</v>
      </c>
      <c r="AO28" s="215" t="s">
        <v>542</v>
      </c>
      <c r="AP28" s="215" t="s">
        <v>542</v>
      </c>
      <c r="AQ28" s="215" t="s">
        <v>542</v>
      </c>
      <c r="AR28" s="215" t="s">
        <v>542</v>
      </c>
      <c r="AS28" s="215" t="s">
        <v>542</v>
      </c>
      <c r="AT28" s="215" t="s">
        <v>542</v>
      </c>
      <c r="AU28" s="215" t="s">
        <v>542</v>
      </c>
      <c r="AV28" s="215" t="s">
        <v>542</v>
      </c>
      <c r="AW28" s="215">
        <v>0</v>
      </c>
      <c r="AX28" s="215" t="s">
        <v>542</v>
      </c>
      <c r="AY28" s="215">
        <v>0</v>
      </c>
      <c r="AZ28" s="215" t="s">
        <v>542</v>
      </c>
      <c r="BA28" s="215" t="s">
        <v>542</v>
      </c>
      <c r="BB28" s="215" t="s">
        <v>542</v>
      </c>
      <c r="BC28" s="215" t="s">
        <v>542</v>
      </c>
      <c r="BD28" s="215">
        <v>0</v>
      </c>
      <c r="BE28" s="215" t="s">
        <v>542</v>
      </c>
      <c r="BF28" s="215" t="s">
        <v>542</v>
      </c>
      <c r="BG28" s="215">
        <v>0</v>
      </c>
      <c r="BH28" s="215" t="s">
        <v>542</v>
      </c>
      <c r="BI28" s="215" t="s">
        <v>542</v>
      </c>
      <c r="BJ28" s="215" t="s">
        <v>542</v>
      </c>
      <c r="BK28" s="215" t="s">
        <v>542</v>
      </c>
      <c r="BL28" s="215" t="s">
        <v>588</v>
      </c>
      <c r="BM28" s="215" t="s">
        <v>542</v>
      </c>
      <c r="BN28" s="215" t="s">
        <v>588</v>
      </c>
      <c r="BO28" s="215" t="s">
        <v>542</v>
      </c>
      <c r="BP28" s="215" t="s">
        <v>542</v>
      </c>
      <c r="BQ28" s="215" t="s">
        <v>542</v>
      </c>
      <c r="BR28" s="215" t="s">
        <v>542</v>
      </c>
      <c r="BS28" s="215" t="s">
        <v>542</v>
      </c>
      <c r="BT28" s="215" t="s">
        <v>542</v>
      </c>
      <c r="BU28" s="215" t="s">
        <v>542</v>
      </c>
      <c r="BV28" s="215">
        <v>0</v>
      </c>
      <c r="BW28" s="215" t="s">
        <v>541</v>
      </c>
      <c r="BX28" s="215" t="s">
        <v>542</v>
      </c>
      <c r="BY28" s="215" t="s">
        <v>542</v>
      </c>
      <c r="BZ28" s="215" t="s">
        <v>542</v>
      </c>
      <c r="CA28" s="215" t="s">
        <v>542</v>
      </c>
      <c r="CB28" s="215" t="s">
        <v>542</v>
      </c>
      <c r="CC28" s="215" t="s">
        <v>541</v>
      </c>
      <c r="CD28" s="215" t="s">
        <v>542</v>
      </c>
      <c r="CE28" s="215" t="s">
        <v>542</v>
      </c>
      <c r="CF28" s="215" t="s">
        <v>541</v>
      </c>
      <c r="CG28" s="215" t="s">
        <v>542</v>
      </c>
      <c r="CH28" s="215" t="s">
        <v>542</v>
      </c>
      <c r="CI28" s="215" t="s">
        <v>542</v>
      </c>
      <c r="CJ28" s="215" t="s">
        <v>542</v>
      </c>
      <c r="CK28" s="215" t="s">
        <v>542</v>
      </c>
      <c r="CL28" s="215" t="s">
        <v>542</v>
      </c>
      <c r="CM28" s="215" t="s">
        <v>542</v>
      </c>
      <c r="CN28" s="215" t="s">
        <v>541</v>
      </c>
      <c r="CO28" s="215" t="s">
        <v>541</v>
      </c>
      <c r="CP28" s="215" t="s">
        <v>541</v>
      </c>
      <c r="CQ28" s="215" t="s">
        <v>542</v>
      </c>
      <c r="CR28" s="215" t="s">
        <v>542</v>
      </c>
      <c r="CS28" s="215" t="s">
        <v>542</v>
      </c>
      <c r="CT28" s="215" t="s">
        <v>541</v>
      </c>
      <c r="CU28" s="215" t="s">
        <v>542</v>
      </c>
      <c r="CV28" s="215" t="s">
        <v>542</v>
      </c>
      <c r="CW28" s="215" t="s">
        <v>541</v>
      </c>
      <c r="CX28" s="215" t="s">
        <v>542</v>
      </c>
      <c r="CY28" s="215" t="s">
        <v>542</v>
      </c>
      <c r="CZ28" s="215" t="s">
        <v>542</v>
      </c>
      <c r="DA28" s="215" t="s">
        <v>542</v>
      </c>
      <c r="DB28" s="215" t="s">
        <v>542</v>
      </c>
      <c r="DC28" s="215" t="s">
        <v>542</v>
      </c>
      <c r="DD28" s="215" t="s">
        <v>542</v>
      </c>
      <c r="DE28" s="215" t="s">
        <v>542</v>
      </c>
      <c r="DF28" s="215" t="s">
        <v>542</v>
      </c>
      <c r="DG28" s="215" t="s">
        <v>542</v>
      </c>
      <c r="DH28" s="215" t="s">
        <v>542</v>
      </c>
      <c r="DI28" s="215" t="s">
        <v>542</v>
      </c>
      <c r="DJ28" s="215" t="s">
        <v>542</v>
      </c>
      <c r="DK28" s="215" t="s">
        <v>542</v>
      </c>
      <c r="DL28" s="215">
        <v>0</v>
      </c>
      <c r="DM28" s="215" t="s">
        <v>542</v>
      </c>
      <c r="DN28" s="215" t="s">
        <v>542</v>
      </c>
      <c r="DO28" s="215" t="s">
        <v>542</v>
      </c>
      <c r="DP28" s="215" t="s">
        <v>542</v>
      </c>
      <c r="DQ28" s="215" t="s">
        <v>542</v>
      </c>
      <c r="DR28" s="215" t="s">
        <v>542</v>
      </c>
      <c r="DS28" s="215">
        <v>0</v>
      </c>
      <c r="DT28" s="215" t="s">
        <v>542</v>
      </c>
      <c r="DU28" s="215" t="s">
        <v>542</v>
      </c>
      <c r="DV28" s="215" t="s">
        <v>542</v>
      </c>
      <c r="DW28" s="215" t="s">
        <v>542</v>
      </c>
      <c r="DX28" s="215" t="s">
        <v>542</v>
      </c>
      <c r="DY28" s="215">
        <v>0</v>
      </c>
      <c r="DZ28" s="215" t="s">
        <v>542</v>
      </c>
      <c r="EA28" s="215" t="s">
        <v>542</v>
      </c>
      <c r="EB28" s="215" t="s">
        <v>542</v>
      </c>
      <c r="EC28" s="215" t="s">
        <v>542</v>
      </c>
      <c r="ED28" s="215" t="s">
        <v>542</v>
      </c>
      <c r="EE28" s="215">
        <v>0</v>
      </c>
      <c r="EF28" s="215" t="s">
        <v>542</v>
      </c>
      <c r="EG28" s="215" t="s">
        <v>542</v>
      </c>
      <c r="EH28" s="215" t="s">
        <v>542</v>
      </c>
      <c r="EI28" s="215" t="s">
        <v>542</v>
      </c>
      <c r="EJ28" s="215" t="s">
        <v>542</v>
      </c>
      <c r="EK28" s="215">
        <v>0</v>
      </c>
      <c r="EL28" s="215" t="s">
        <v>542</v>
      </c>
      <c r="EM28" s="215" t="s">
        <v>542</v>
      </c>
      <c r="EN28" s="215" t="s">
        <v>542</v>
      </c>
      <c r="EO28" s="215" t="s">
        <v>542</v>
      </c>
      <c r="EP28" s="215" t="s">
        <v>542</v>
      </c>
      <c r="EQ28" s="215">
        <v>0</v>
      </c>
      <c r="ER28" s="215" t="s">
        <v>542</v>
      </c>
      <c r="ES28" s="215">
        <v>0</v>
      </c>
      <c r="ET28" s="215" t="s">
        <v>542</v>
      </c>
      <c r="EU28" s="215" t="s">
        <v>542</v>
      </c>
      <c r="EV28" s="215" t="s">
        <v>542</v>
      </c>
      <c r="EW28" s="215" t="s">
        <v>542</v>
      </c>
      <c r="EX28" s="215" t="s">
        <v>542</v>
      </c>
      <c r="EY28" s="215" t="s">
        <v>542</v>
      </c>
      <c r="EZ28" s="215">
        <v>0</v>
      </c>
      <c r="FA28" s="215" t="s">
        <v>542</v>
      </c>
      <c r="FB28" s="215" t="s">
        <v>542</v>
      </c>
      <c r="FC28" s="215" t="s">
        <v>542</v>
      </c>
      <c r="FD28" s="215" t="s">
        <v>542</v>
      </c>
      <c r="FE28" s="215" t="s">
        <v>542</v>
      </c>
      <c r="FF28" s="215">
        <v>0</v>
      </c>
      <c r="FG28" s="215" t="s">
        <v>542</v>
      </c>
      <c r="FH28" s="215" t="s">
        <v>542</v>
      </c>
      <c r="FI28" s="215" t="s">
        <v>542</v>
      </c>
      <c r="FJ28" s="215" t="s">
        <v>542</v>
      </c>
      <c r="FK28" s="215" t="s">
        <v>542</v>
      </c>
      <c r="FL28" s="215" t="s">
        <v>588</v>
      </c>
      <c r="FM28" s="215" t="s">
        <v>542</v>
      </c>
      <c r="FN28" s="215" t="s">
        <v>542</v>
      </c>
      <c r="FO28" s="215" t="s">
        <v>542</v>
      </c>
      <c r="FP28" s="215" t="s">
        <v>542</v>
      </c>
      <c r="FQ28" s="215" t="s">
        <v>542</v>
      </c>
      <c r="FR28" s="215" t="s">
        <v>588</v>
      </c>
      <c r="FS28" s="215" t="s">
        <v>542</v>
      </c>
      <c r="FT28" s="215" t="s">
        <v>542</v>
      </c>
      <c r="FU28" s="215" t="s">
        <v>542</v>
      </c>
      <c r="FV28" s="215" t="s">
        <v>542</v>
      </c>
      <c r="FW28" s="215" t="s">
        <v>542</v>
      </c>
      <c r="FX28" s="215" t="s">
        <v>588</v>
      </c>
      <c r="FY28" s="215" t="s">
        <v>542</v>
      </c>
      <c r="FZ28" s="215" t="s">
        <v>588</v>
      </c>
      <c r="GA28" s="215" t="s">
        <v>542</v>
      </c>
      <c r="GB28" s="215" t="s">
        <v>542</v>
      </c>
      <c r="GC28" s="215" t="s">
        <v>542</v>
      </c>
      <c r="GD28" s="215" t="s">
        <v>542</v>
      </c>
      <c r="GE28" s="215" t="s">
        <v>542</v>
      </c>
      <c r="GF28" s="215" t="s">
        <v>542</v>
      </c>
      <c r="GG28" s="215" t="s">
        <v>542</v>
      </c>
      <c r="GH28" s="215" t="s">
        <v>588</v>
      </c>
      <c r="GI28" s="215" t="s">
        <v>542</v>
      </c>
      <c r="GJ28" s="215" t="s">
        <v>588</v>
      </c>
    </row>
    <row r="29" spans="1:192" x14ac:dyDescent="0.2">
      <c r="A29" s="215" t="s">
        <v>581</v>
      </c>
      <c r="B29" s="215">
        <v>2025</v>
      </c>
      <c r="C29" s="215" t="s">
        <v>541</v>
      </c>
      <c r="D29" s="215" t="s">
        <v>541</v>
      </c>
      <c r="E29" s="215" t="s">
        <v>541</v>
      </c>
      <c r="F29" s="215" t="s">
        <v>541</v>
      </c>
      <c r="G29" s="215" t="s">
        <v>542</v>
      </c>
      <c r="H29" s="215" t="s">
        <v>541</v>
      </c>
      <c r="J29" s="215" t="s">
        <v>542</v>
      </c>
      <c r="K29" s="215" t="s">
        <v>542</v>
      </c>
      <c r="L29" s="215" t="s">
        <v>542</v>
      </c>
      <c r="M29" s="215" t="s">
        <v>542</v>
      </c>
      <c r="N29" s="215" t="s">
        <v>542</v>
      </c>
      <c r="O29" s="215" t="s">
        <v>542</v>
      </c>
      <c r="P29" s="215" t="s">
        <v>542</v>
      </c>
      <c r="Q29" s="215" t="s">
        <v>542</v>
      </c>
      <c r="R29" s="215" t="s">
        <v>542</v>
      </c>
      <c r="S29" s="215">
        <v>0</v>
      </c>
      <c r="T29" s="215" t="s">
        <v>542</v>
      </c>
      <c r="U29" s="215">
        <v>0</v>
      </c>
      <c r="V29" s="215" t="s">
        <v>541</v>
      </c>
      <c r="W29" s="215" t="s">
        <v>541</v>
      </c>
      <c r="X29" s="215" t="s">
        <v>541</v>
      </c>
      <c r="Y29" s="215" t="s">
        <v>541</v>
      </c>
      <c r="Z29" s="215" t="s">
        <v>541</v>
      </c>
      <c r="AA29" s="215" t="s">
        <v>541</v>
      </c>
      <c r="AB29" s="215" t="s">
        <v>542</v>
      </c>
      <c r="AC29" s="215" t="s">
        <v>542</v>
      </c>
      <c r="AD29" s="215" t="s">
        <v>542</v>
      </c>
      <c r="AE29" s="215" t="s">
        <v>542</v>
      </c>
      <c r="AF29" s="215" t="s">
        <v>541</v>
      </c>
      <c r="AG29" s="215" t="s">
        <v>583</v>
      </c>
      <c r="AH29" s="215" t="s">
        <v>542</v>
      </c>
      <c r="AI29" s="215" t="s">
        <v>542</v>
      </c>
      <c r="AJ29" s="215">
        <v>0</v>
      </c>
      <c r="AK29" s="215" t="s">
        <v>542</v>
      </c>
      <c r="AL29" s="215">
        <v>0</v>
      </c>
      <c r="AM29" s="215" t="s">
        <v>541</v>
      </c>
      <c r="AN29" s="215" t="s">
        <v>582</v>
      </c>
      <c r="AO29" s="215" t="s">
        <v>542</v>
      </c>
      <c r="AP29" s="215" t="s">
        <v>542</v>
      </c>
      <c r="AQ29" s="215" t="s">
        <v>542</v>
      </c>
      <c r="AR29" s="215" t="s">
        <v>542</v>
      </c>
      <c r="AS29" s="215" t="s">
        <v>542</v>
      </c>
      <c r="AT29" s="215" t="s">
        <v>542</v>
      </c>
      <c r="AU29" s="215" t="s">
        <v>542</v>
      </c>
      <c r="AV29" s="215" t="s">
        <v>542</v>
      </c>
      <c r="AW29" s="215">
        <v>0</v>
      </c>
      <c r="AX29" s="215" t="s">
        <v>542</v>
      </c>
      <c r="AY29" s="215">
        <v>0</v>
      </c>
      <c r="AZ29" s="215" t="s">
        <v>542</v>
      </c>
      <c r="BA29" s="215" t="s">
        <v>542</v>
      </c>
      <c r="BB29" s="215" t="s">
        <v>542</v>
      </c>
      <c r="BC29" s="215" t="s">
        <v>542</v>
      </c>
      <c r="BD29" s="215">
        <v>0</v>
      </c>
      <c r="BE29" s="215" t="s">
        <v>542</v>
      </c>
      <c r="BF29" s="215" t="s">
        <v>542</v>
      </c>
      <c r="BG29" s="215">
        <v>0</v>
      </c>
      <c r="BH29" s="215" t="s">
        <v>542</v>
      </c>
      <c r="BI29" s="215" t="s">
        <v>542</v>
      </c>
      <c r="BJ29" s="215" t="s">
        <v>542</v>
      </c>
      <c r="BK29" s="215" t="s">
        <v>542</v>
      </c>
      <c r="BL29" s="215" t="s">
        <v>588</v>
      </c>
      <c r="BM29" s="215" t="s">
        <v>542</v>
      </c>
      <c r="BN29" s="215" t="s">
        <v>588</v>
      </c>
      <c r="BO29" s="215" t="s">
        <v>542</v>
      </c>
      <c r="BP29" s="215" t="s">
        <v>542</v>
      </c>
      <c r="BQ29" s="215" t="s">
        <v>542</v>
      </c>
      <c r="BR29" s="215" t="s">
        <v>542</v>
      </c>
      <c r="BS29" s="215" t="s">
        <v>542</v>
      </c>
      <c r="BT29" s="215" t="s">
        <v>542</v>
      </c>
      <c r="BU29" s="215" t="s">
        <v>542</v>
      </c>
      <c r="BV29" s="215">
        <v>0</v>
      </c>
      <c r="BW29" s="215" t="s">
        <v>541</v>
      </c>
      <c r="BX29" s="215" t="s">
        <v>542</v>
      </c>
      <c r="BY29" s="215" t="s">
        <v>542</v>
      </c>
      <c r="BZ29" s="215" t="s">
        <v>542</v>
      </c>
      <c r="CA29" s="215" t="s">
        <v>542</v>
      </c>
      <c r="CB29" s="215" t="s">
        <v>542</v>
      </c>
      <c r="CC29" s="215" t="s">
        <v>542</v>
      </c>
      <c r="CD29" s="215" t="s">
        <v>542</v>
      </c>
      <c r="CE29" s="215" t="s">
        <v>542</v>
      </c>
      <c r="CF29" s="215" t="s">
        <v>542</v>
      </c>
      <c r="CG29" s="215" t="s">
        <v>542</v>
      </c>
      <c r="CH29" s="215" t="s">
        <v>542</v>
      </c>
      <c r="CI29" s="215" t="s">
        <v>542</v>
      </c>
      <c r="CJ29" s="215" t="s">
        <v>542</v>
      </c>
      <c r="CK29" s="215" t="s">
        <v>542</v>
      </c>
      <c r="CL29" s="215" t="s">
        <v>542</v>
      </c>
      <c r="CM29" s="215" t="s">
        <v>542</v>
      </c>
      <c r="CN29" s="215" t="s">
        <v>542</v>
      </c>
      <c r="CO29" s="215" t="s">
        <v>542</v>
      </c>
      <c r="CP29" s="215" t="s">
        <v>542</v>
      </c>
      <c r="CQ29" s="215" t="s">
        <v>542</v>
      </c>
      <c r="CR29" s="215" t="s">
        <v>542</v>
      </c>
      <c r="CS29" s="215" t="s">
        <v>542</v>
      </c>
      <c r="CT29" s="215" t="s">
        <v>541</v>
      </c>
      <c r="CU29" s="215" t="s">
        <v>542</v>
      </c>
      <c r="CV29" s="215" t="s">
        <v>542</v>
      </c>
      <c r="CW29" s="215" t="s">
        <v>542</v>
      </c>
      <c r="CX29" s="215" t="s">
        <v>542</v>
      </c>
      <c r="CY29" s="215" t="s">
        <v>542</v>
      </c>
      <c r="CZ29" s="215" t="s">
        <v>542</v>
      </c>
      <c r="DA29" s="215" t="s">
        <v>542</v>
      </c>
      <c r="DB29" s="215" t="s">
        <v>542</v>
      </c>
      <c r="DC29" s="215" t="s">
        <v>542</v>
      </c>
      <c r="DD29" s="215" t="s">
        <v>542</v>
      </c>
      <c r="DE29" s="215" t="s">
        <v>542</v>
      </c>
      <c r="DF29" s="215" t="s">
        <v>542</v>
      </c>
      <c r="DG29" s="215" t="s">
        <v>542</v>
      </c>
      <c r="DH29" s="215" t="s">
        <v>542</v>
      </c>
      <c r="DI29" s="215" t="s">
        <v>542</v>
      </c>
      <c r="DJ29" s="215" t="s">
        <v>542</v>
      </c>
      <c r="DK29" s="215" t="s">
        <v>542</v>
      </c>
      <c r="DL29" s="215">
        <v>0</v>
      </c>
      <c r="DM29" s="215" t="s">
        <v>542</v>
      </c>
      <c r="DN29" s="215" t="s">
        <v>542</v>
      </c>
      <c r="DO29" s="215" t="s">
        <v>542</v>
      </c>
      <c r="DP29" s="215" t="s">
        <v>542</v>
      </c>
      <c r="DQ29" s="215" t="s">
        <v>542</v>
      </c>
      <c r="DR29" s="215" t="s">
        <v>542</v>
      </c>
      <c r="DS29" s="215">
        <v>0</v>
      </c>
      <c r="DT29" s="215" t="s">
        <v>542</v>
      </c>
      <c r="DU29" s="215" t="s">
        <v>542</v>
      </c>
      <c r="DV29" s="215" t="s">
        <v>542</v>
      </c>
      <c r="DW29" s="215" t="s">
        <v>542</v>
      </c>
      <c r="DX29" s="215" t="s">
        <v>542</v>
      </c>
      <c r="DY29" s="215">
        <v>0</v>
      </c>
      <c r="DZ29" s="215" t="s">
        <v>542</v>
      </c>
      <c r="EA29" s="215" t="s">
        <v>542</v>
      </c>
      <c r="EB29" s="215" t="s">
        <v>542</v>
      </c>
      <c r="EC29" s="215" t="s">
        <v>542</v>
      </c>
      <c r="ED29" s="215" t="s">
        <v>542</v>
      </c>
      <c r="EE29" s="215">
        <v>0</v>
      </c>
      <c r="EF29" s="215" t="s">
        <v>542</v>
      </c>
      <c r="EG29" s="215" t="s">
        <v>542</v>
      </c>
      <c r="EH29" s="215" t="s">
        <v>542</v>
      </c>
      <c r="EI29" s="215" t="s">
        <v>542</v>
      </c>
      <c r="EJ29" s="215" t="s">
        <v>542</v>
      </c>
      <c r="EK29" s="215">
        <v>0</v>
      </c>
      <c r="EL29" s="215" t="s">
        <v>542</v>
      </c>
      <c r="EM29" s="215" t="s">
        <v>542</v>
      </c>
      <c r="EN29" s="215" t="s">
        <v>542</v>
      </c>
      <c r="EO29" s="215" t="s">
        <v>542</v>
      </c>
      <c r="EP29" s="215" t="s">
        <v>542</v>
      </c>
      <c r="EQ29" s="215">
        <v>0</v>
      </c>
      <c r="ER29" s="215" t="s">
        <v>542</v>
      </c>
      <c r="ES29" s="215">
        <v>0</v>
      </c>
      <c r="ET29" s="215" t="s">
        <v>542</v>
      </c>
      <c r="EU29" s="215" t="s">
        <v>542</v>
      </c>
      <c r="EV29" s="215" t="s">
        <v>542</v>
      </c>
      <c r="EW29" s="215" t="s">
        <v>542</v>
      </c>
      <c r="EX29" s="215" t="s">
        <v>542</v>
      </c>
      <c r="EY29" s="215" t="s">
        <v>542</v>
      </c>
      <c r="EZ29" s="215">
        <v>0</v>
      </c>
      <c r="FA29" s="215" t="s">
        <v>542</v>
      </c>
      <c r="FB29" s="215" t="s">
        <v>542</v>
      </c>
      <c r="FC29" s="215" t="s">
        <v>542</v>
      </c>
      <c r="FD29" s="215" t="s">
        <v>542</v>
      </c>
      <c r="FE29" s="215" t="s">
        <v>542</v>
      </c>
      <c r="FF29" s="215">
        <v>0</v>
      </c>
      <c r="FG29" s="215" t="s">
        <v>542</v>
      </c>
      <c r="FH29" s="215" t="s">
        <v>542</v>
      </c>
      <c r="FI29" s="215" t="s">
        <v>542</v>
      </c>
      <c r="FJ29" s="215" t="s">
        <v>542</v>
      </c>
      <c r="FK29" s="215" t="s">
        <v>542</v>
      </c>
      <c r="FL29" s="215" t="s">
        <v>588</v>
      </c>
      <c r="FM29" s="215" t="s">
        <v>542</v>
      </c>
      <c r="FN29" s="215" t="s">
        <v>542</v>
      </c>
      <c r="FO29" s="215" t="s">
        <v>542</v>
      </c>
      <c r="FP29" s="215" t="s">
        <v>542</v>
      </c>
      <c r="FQ29" s="215" t="s">
        <v>542</v>
      </c>
      <c r="FR29" s="215" t="s">
        <v>588</v>
      </c>
      <c r="FS29" s="215" t="s">
        <v>542</v>
      </c>
      <c r="FT29" s="215" t="s">
        <v>542</v>
      </c>
      <c r="FU29" s="215" t="s">
        <v>542</v>
      </c>
      <c r="FV29" s="215" t="s">
        <v>542</v>
      </c>
      <c r="FW29" s="215" t="s">
        <v>542</v>
      </c>
      <c r="FX29" s="215" t="s">
        <v>588</v>
      </c>
      <c r="FY29" s="215" t="s">
        <v>542</v>
      </c>
      <c r="FZ29" s="215" t="s">
        <v>588</v>
      </c>
      <c r="GA29" s="215" t="s">
        <v>542</v>
      </c>
      <c r="GB29" s="215" t="s">
        <v>542</v>
      </c>
      <c r="GC29" s="215" t="s">
        <v>542</v>
      </c>
      <c r="GD29" s="215" t="s">
        <v>542</v>
      </c>
      <c r="GE29" s="215" t="s">
        <v>542</v>
      </c>
      <c r="GF29" s="215" t="s">
        <v>542</v>
      </c>
      <c r="GG29" s="215" t="s">
        <v>542</v>
      </c>
      <c r="GH29" s="215" t="s">
        <v>588</v>
      </c>
      <c r="GI29" s="215" t="s">
        <v>542</v>
      </c>
      <c r="GJ29" s="215" t="s">
        <v>588</v>
      </c>
    </row>
    <row r="30" spans="1:192" x14ac:dyDescent="0.2">
      <c r="A30" s="215" t="s">
        <v>585</v>
      </c>
      <c r="B30" s="215">
        <v>2025</v>
      </c>
      <c r="C30" s="215" t="s">
        <v>541</v>
      </c>
      <c r="D30" s="215" t="s">
        <v>541</v>
      </c>
      <c r="E30" s="215" t="s">
        <v>541</v>
      </c>
      <c r="F30" s="215" t="s">
        <v>541</v>
      </c>
      <c r="G30" s="215" t="s">
        <v>542</v>
      </c>
      <c r="H30" s="215" t="s">
        <v>541</v>
      </c>
      <c r="I30" s="215" t="s">
        <v>580</v>
      </c>
      <c r="J30" s="215" t="s">
        <v>542</v>
      </c>
      <c r="K30" s="215" t="s">
        <v>542</v>
      </c>
      <c r="L30" s="215" t="s">
        <v>542</v>
      </c>
      <c r="M30" s="215" t="s">
        <v>542</v>
      </c>
      <c r="N30" s="215" t="s">
        <v>542</v>
      </c>
      <c r="O30" s="215" t="s">
        <v>542</v>
      </c>
      <c r="P30" s="215" t="s">
        <v>542</v>
      </c>
      <c r="Q30" s="215" t="s">
        <v>542</v>
      </c>
      <c r="R30" s="215" t="s">
        <v>542</v>
      </c>
      <c r="S30" s="215">
        <v>0</v>
      </c>
      <c r="T30" s="215" t="s">
        <v>542</v>
      </c>
      <c r="U30" s="215">
        <v>0</v>
      </c>
      <c r="V30" s="215" t="s">
        <v>541</v>
      </c>
      <c r="W30" s="215" t="s">
        <v>541</v>
      </c>
      <c r="X30" s="215" t="s">
        <v>541</v>
      </c>
      <c r="Y30" s="215" t="s">
        <v>541</v>
      </c>
      <c r="Z30" s="215" t="s">
        <v>542</v>
      </c>
      <c r="AA30" s="215" t="s">
        <v>541</v>
      </c>
      <c r="AB30" s="215" t="s">
        <v>542</v>
      </c>
      <c r="AC30" s="215" t="s">
        <v>542</v>
      </c>
      <c r="AD30" s="215" t="s">
        <v>542</v>
      </c>
      <c r="AE30" s="215" t="s">
        <v>542</v>
      </c>
      <c r="AF30" s="215" t="s">
        <v>541</v>
      </c>
      <c r="AG30" s="215" t="s">
        <v>583</v>
      </c>
      <c r="AH30" s="215" t="s">
        <v>542</v>
      </c>
      <c r="AI30" s="215" t="s">
        <v>542</v>
      </c>
      <c r="AJ30" s="215">
        <v>0</v>
      </c>
      <c r="AK30" s="215" t="s">
        <v>542</v>
      </c>
      <c r="AL30" s="215">
        <v>0</v>
      </c>
      <c r="AM30" s="215" t="s">
        <v>541</v>
      </c>
      <c r="AN30" s="215" t="s">
        <v>584</v>
      </c>
      <c r="AO30" s="215" t="s">
        <v>541</v>
      </c>
      <c r="AP30" s="215" t="s">
        <v>542</v>
      </c>
      <c r="AQ30" s="215" t="s">
        <v>541</v>
      </c>
      <c r="AR30" s="215" t="s">
        <v>542</v>
      </c>
      <c r="AS30" s="215" t="s">
        <v>542</v>
      </c>
      <c r="AT30" s="215" t="s">
        <v>542</v>
      </c>
      <c r="AU30" s="215" t="s">
        <v>542</v>
      </c>
      <c r="AV30" s="215" t="s">
        <v>542</v>
      </c>
      <c r="AW30" s="215">
        <v>0</v>
      </c>
      <c r="AX30" s="215" t="s">
        <v>542</v>
      </c>
      <c r="AY30" s="215">
        <v>0</v>
      </c>
      <c r="AZ30" s="215" t="s">
        <v>542</v>
      </c>
      <c r="BA30" s="215" t="s">
        <v>542</v>
      </c>
      <c r="BB30" s="215" t="s">
        <v>542</v>
      </c>
      <c r="BC30" s="215" t="s">
        <v>542</v>
      </c>
      <c r="BD30" s="215">
        <v>0</v>
      </c>
      <c r="BE30" s="215" t="s">
        <v>542</v>
      </c>
      <c r="BF30" s="215" t="s">
        <v>542</v>
      </c>
      <c r="BG30" s="215">
        <v>0</v>
      </c>
      <c r="BH30" s="215" t="s">
        <v>542</v>
      </c>
      <c r="BI30" s="215" t="s">
        <v>542</v>
      </c>
      <c r="BJ30" s="215" t="s">
        <v>542</v>
      </c>
      <c r="BK30" s="215" t="s">
        <v>542</v>
      </c>
      <c r="BL30" s="215" t="s">
        <v>588</v>
      </c>
      <c r="BM30" s="215" t="s">
        <v>542</v>
      </c>
      <c r="BN30" s="215" t="s">
        <v>588</v>
      </c>
      <c r="BO30" s="215" t="s">
        <v>542</v>
      </c>
      <c r="BP30" s="215" t="s">
        <v>542</v>
      </c>
      <c r="BQ30" s="215" t="s">
        <v>542</v>
      </c>
      <c r="BR30" s="215" t="s">
        <v>542</v>
      </c>
      <c r="BS30" s="215" t="s">
        <v>542</v>
      </c>
      <c r="BT30" s="215" t="s">
        <v>542</v>
      </c>
      <c r="BU30" s="215" t="s">
        <v>542</v>
      </c>
      <c r="BV30" s="215">
        <v>0</v>
      </c>
      <c r="BW30" s="215" t="s">
        <v>542</v>
      </c>
      <c r="BX30" s="215" t="s">
        <v>542</v>
      </c>
      <c r="BY30" s="215" t="s">
        <v>542</v>
      </c>
      <c r="BZ30" s="215" t="s">
        <v>542</v>
      </c>
      <c r="CA30" s="215" t="s">
        <v>542</v>
      </c>
      <c r="CB30" s="215" t="s">
        <v>542</v>
      </c>
      <c r="CC30" s="215" t="s">
        <v>542</v>
      </c>
      <c r="CD30" s="215" t="s">
        <v>542</v>
      </c>
      <c r="CE30" s="215" t="s">
        <v>542</v>
      </c>
      <c r="CF30" s="215" t="s">
        <v>542</v>
      </c>
      <c r="CG30" s="215" t="s">
        <v>542</v>
      </c>
      <c r="CH30" s="215" t="s">
        <v>542</v>
      </c>
      <c r="CI30" s="215" t="s">
        <v>542</v>
      </c>
      <c r="CJ30" s="215" t="s">
        <v>542</v>
      </c>
      <c r="CK30" s="215" t="s">
        <v>542</v>
      </c>
      <c r="CL30" s="215" t="s">
        <v>542</v>
      </c>
      <c r="CM30" s="215" t="s">
        <v>542</v>
      </c>
      <c r="CN30" s="215" t="s">
        <v>542</v>
      </c>
      <c r="CO30" s="215" t="s">
        <v>542</v>
      </c>
      <c r="CP30" s="215" t="s">
        <v>542</v>
      </c>
      <c r="CQ30" s="215" t="s">
        <v>542</v>
      </c>
      <c r="CR30" s="215" t="s">
        <v>542</v>
      </c>
      <c r="CS30" s="215" t="s">
        <v>542</v>
      </c>
      <c r="CT30" s="215" t="s">
        <v>541</v>
      </c>
      <c r="CU30" s="215" t="s">
        <v>542</v>
      </c>
      <c r="CV30" s="215" t="s">
        <v>542</v>
      </c>
      <c r="CW30" s="215" t="s">
        <v>542</v>
      </c>
      <c r="CX30" s="215" t="s">
        <v>542</v>
      </c>
      <c r="CY30" s="215" t="s">
        <v>542</v>
      </c>
      <c r="CZ30" s="215" t="s">
        <v>542</v>
      </c>
      <c r="DA30" s="215" t="s">
        <v>542</v>
      </c>
      <c r="DB30" s="215" t="s">
        <v>542</v>
      </c>
      <c r="DC30" s="215" t="s">
        <v>542</v>
      </c>
      <c r="DD30" s="215" t="s">
        <v>542</v>
      </c>
      <c r="DE30" s="215" t="s">
        <v>542</v>
      </c>
      <c r="DF30" s="215" t="s">
        <v>542</v>
      </c>
      <c r="DG30" s="215" t="s">
        <v>542</v>
      </c>
      <c r="DH30" s="215" t="s">
        <v>542</v>
      </c>
      <c r="DI30" s="215" t="s">
        <v>542</v>
      </c>
      <c r="DJ30" s="215" t="s">
        <v>542</v>
      </c>
      <c r="DK30" s="215" t="s">
        <v>542</v>
      </c>
      <c r="DL30" s="215">
        <v>0</v>
      </c>
      <c r="DM30" s="215" t="s">
        <v>542</v>
      </c>
      <c r="DN30" s="215" t="s">
        <v>542</v>
      </c>
      <c r="DO30" s="215" t="s">
        <v>542</v>
      </c>
      <c r="DP30" s="215" t="s">
        <v>542</v>
      </c>
      <c r="DQ30" s="215" t="s">
        <v>542</v>
      </c>
      <c r="DR30" s="215" t="s">
        <v>542</v>
      </c>
      <c r="DS30" s="215">
        <v>0</v>
      </c>
      <c r="DT30" s="215" t="s">
        <v>542</v>
      </c>
      <c r="DU30" s="215" t="s">
        <v>542</v>
      </c>
      <c r="DV30" s="215" t="s">
        <v>542</v>
      </c>
      <c r="DW30" s="215" t="s">
        <v>542</v>
      </c>
      <c r="DX30" s="215" t="s">
        <v>542</v>
      </c>
      <c r="DY30" s="215">
        <v>0</v>
      </c>
      <c r="DZ30" s="215" t="s">
        <v>542</v>
      </c>
      <c r="EA30" s="215" t="s">
        <v>542</v>
      </c>
      <c r="EB30" s="215" t="s">
        <v>542</v>
      </c>
      <c r="EC30" s="215" t="s">
        <v>542</v>
      </c>
      <c r="ED30" s="215" t="s">
        <v>542</v>
      </c>
      <c r="EE30" s="215">
        <v>0</v>
      </c>
      <c r="EF30" s="215" t="s">
        <v>542</v>
      </c>
      <c r="EG30" s="215" t="s">
        <v>542</v>
      </c>
      <c r="EH30" s="215" t="s">
        <v>542</v>
      </c>
      <c r="EI30" s="215" t="s">
        <v>542</v>
      </c>
      <c r="EJ30" s="215" t="s">
        <v>542</v>
      </c>
      <c r="EK30" s="215">
        <v>0</v>
      </c>
      <c r="EL30" s="215" t="s">
        <v>542</v>
      </c>
      <c r="EM30" s="215" t="s">
        <v>542</v>
      </c>
      <c r="EN30" s="215" t="s">
        <v>542</v>
      </c>
      <c r="EO30" s="215" t="s">
        <v>542</v>
      </c>
      <c r="EP30" s="215" t="s">
        <v>542</v>
      </c>
      <c r="EQ30" s="215">
        <v>0</v>
      </c>
      <c r="ER30" s="215" t="s">
        <v>542</v>
      </c>
      <c r="ES30" s="215">
        <v>0</v>
      </c>
      <c r="ET30" s="215" t="s">
        <v>542</v>
      </c>
      <c r="EU30" s="215" t="s">
        <v>542</v>
      </c>
      <c r="EV30" s="215" t="s">
        <v>542</v>
      </c>
      <c r="EW30" s="215" t="s">
        <v>542</v>
      </c>
      <c r="EX30" s="215" t="s">
        <v>542</v>
      </c>
      <c r="EY30" s="215" t="s">
        <v>542</v>
      </c>
      <c r="EZ30" s="215">
        <v>0</v>
      </c>
      <c r="FA30" s="215" t="s">
        <v>542</v>
      </c>
      <c r="FB30" s="215" t="s">
        <v>542</v>
      </c>
      <c r="FC30" s="215" t="s">
        <v>542</v>
      </c>
      <c r="FD30" s="215" t="s">
        <v>542</v>
      </c>
      <c r="FE30" s="215" t="s">
        <v>542</v>
      </c>
      <c r="FF30" s="215">
        <v>0</v>
      </c>
      <c r="FG30" s="215" t="s">
        <v>542</v>
      </c>
      <c r="FH30" s="215" t="s">
        <v>542</v>
      </c>
      <c r="FI30" s="215" t="s">
        <v>542</v>
      </c>
      <c r="FJ30" s="215" t="s">
        <v>542</v>
      </c>
      <c r="FK30" s="215" t="s">
        <v>542</v>
      </c>
      <c r="FL30" s="215" t="s">
        <v>588</v>
      </c>
      <c r="FM30" s="215" t="s">
        <v>542</v>
      </c>
      <c r="FN30" s="215" t="s">
        <v>542</v>
      </c>
      <c r="FO30" s="215" t="s">
        <v>542</v>
      </c>
      <c r="FP30" s="215" t="s">
        <v>542</v>
      </c>
      <c r="FQ30" s="215" t="s">
        <v>542</v>
      </c>
      <c r="FR30" s="215" t="s">
        <v>588</v>
      </c>
      <c r="FS30" s="215" t="s">
        <v>542</v>
      </c>
      <c r="FT30" s="215" t="s">
        <v>542</v>
      </c>
      <c r="FU30" s="215" t="s">
        <v>542</v>
      </c>
      <c r="FV30" s="215" t="s">
        <v>542</v>
      </c>
      <c r="FW30" s="215" t="s">
        <v>542</v>
      </c>
      <c r="FX30" s="215" t="s">
        <v>588</v>
      </c>
      <c r="FY30" s="215" t="s">
        <v>542</v>
      </c>
      <c r="FZ30" s="215" t="s">
        <v>588</v>
      </c>
      <c r="GA30" s="215" t="s">
        <v>542</v>
      </c>
      <c r="GB30" s="215" t="s">
        <v>542</v>
      </c>
      <c r="GC30" s="215" t="s">
        <v>542</v>
      </c>
      <c r="GD30" s="215" t="s">
        <v>542</v>
      </c>
      <c r="GE30" s="215" t="s">
        <v>542</v>
      </c>
      <c r="GF30" s="215" t="s">
        <v>542</v>
      </c>
      <c r="GG30" s="215" t="s">
        <v>542</v>
      </c>
      <c r="GH30" s="215" t="s">
        <v>588</v>
      </c>
      <c r="GI30" s="215" t="s">
        <v>542</v>
      </c>
      <c r="GJ30" s="215" t="s">
        <v>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BF18-C343-8240-B5EA-069FA3897772}">
  <dimension ref="A1:CG31"/>
  <sheetViews>
    <sheetView tabSelected="1" zoomScale="125" zoomScaleNormal="150" workbookViewId="0">
      <selection activeCell="B9" sqref="B9"/>
    </sheetView>
  </sheetViews>
  <sheetFormatPr baseColWidth="10" defaultRowHeight="15" x14ac:dyDescent="0.2"/>
  <cols>
    <col min="1" max="1" width="10.83203125" style="215"/>
    <col min="2" max="2" width="18.33203125" style="215" customWidth="1"/>
    <col min="3" max="3" width="21" style="214" customWidth="1"/>
    <col min="4" max="4" width="14.83203125" style="217" customWidth="1"/>
    <col min="5" max="5" width="10.83203125" style="218"/>
    <col min="6" max="6" width="10.83203125" style="215"/>
    <col min="7" max="7" width="10.83203125" style="217"/>
    <col min="8" max="8" width="13.83203125" style="218" customWidth="1"/>
    <col min="9" max="9" width="10.83203125" style="215"/>
    <col min="10" max="10" width="10.83203125" style="217"/>
    <col min="11" max="11" width="23.83203125" style="219" customWidth="1"/>
    <col min="12" max="12" width="23.83203125" style="215" customWidth="1"/>
    <col min="13" max="13" width="20.5" style="217" customWidth="1"/>
    <col min="14" max="14" width="10.83203125" style="218"/>
    <col min="15" max="15" width="10.83203125" style="215"/>
    <col min="16" max="16" width="10.83203125" style="217"/>
    <col min="17" max="17" width="10.83203125" style="219"/>
    <col min="18" max="18" width="10.83203125" style="214"/>
    <col min="19" max="19" width="10.83203125" style="217"/>
    <col min="20" max="20" width="10.83203125" style="218"/>
    <col min="21" max="21" width="10.83203125" style="215"/>
    <col min="22" max="22" width="10.83203125" style="217"/>
    <col min="23" max="23" width="10.83203125" style="218"/>
    <col min="24" max="24" width="10.83203125" style="215"/>
    <col min="25" max="25" width="10.83203125" style="217"/>
    <col min="26" max="26" width="10.83203125" style="218"/>
    <col min="27" max="27" width="10.83203125" style="215"/>
    <col min="28" max="28" width="10.83203125" style="217"/>
    <col min="29" max="29" width="10.83203125" style="218"/>
    <col min="30" max="30" width="10.83203125" style="215"/>
    <col min="31" max="31" width="10.83203125" style="217"/>
    <col min="32" max="32" width="10.83203125" style="218"/>
    <col min="33" max="33" width="10.83203125" style="215"/>
    <col min="34" max="34" width="10.83203125" style="217"/>
    <col min="35" max="35" width="10.83203125" style="218"/>
    <col min="36" max="36" width="10.83203125" style="215"/>
    <col min="37" max="37" width="10.83203125" style="217"/>
    <col min="38" max="38" width="10.83203125" style="218"/>
    <col min="39" max="39" width="10.83203125" style="215"/>
    <col min="40" max="40" width="10.83203125" style="217"/>
    <col min="41" max="41" width="10.83203125" style="218"/>
    <col min="42" max="42" width="10.83203125" style="215"/>
    <col min="43" max="43" width="10.83203125" style="217"/>
    <col min="44" max="44" width="10.83203125" style="218"/>
    <col min="45" max="45" width="10.83203125" style="215"/>
    <col min="46" max="46" width="10.83203125" style="217"/>
    <col min="47" max="47" width="10.83203125" style="218"/>
    <col min="48" max="48" width="10.83203125" style="215"/>
    <col min="49" max="49" width="10.83203125" style="217"/>
    <col min="50" max="50" width="10.83203125" style="218"/>
    <col min="51" max="51" width="10.83203125" style="215"/>
    <col min="52" max="52" width="10.83203125" style="217"/>
    <col min="53" max="53" width="10.83203125" style="218"/>
    <col min="54" max="54" width="10.83203125" style="215"/>
    <col min="55" max="55" width="10.83203125" style="217"/>
    <col min="56" max="56" width="10.83203125" style="218"/>
    <col min="57" max="57" width="10.83203125" style="215"/>
    <col min="58" max="58" width="10.83203125" style="217"/>
    <col min="59" max="60" width="10.83203125" style="215"/>
    <col min="61" max="61" width="10.83203125" style="220"/>
    <col min="62" max="62" width="10.83203125" style="218"/>
    <col min="63" max="63" width="10.83203125" style="215"/>
    <col min="64" max="64" width="10.83203125" style="217"/>
    <col min="65" max="65" width="10.83203125" style="218"/>
    <col min="66" max="66" width="10.83203125" style="215"/>
    <col min="67" max="67" width="10.83203125" style="217"/>
    <col min="68" max="68" width="10.83203125" style="218"/>
    <col min="69" max="69" width="10.83203125" style="215"/>
    <col min="70" max="70" width="10.83203125" style="217"/>
    <col min="71" max="71" width="10.83203125" style="218"/>
    <col min="72" max="72" width="10.83203125" style="215"/>
    <col min="73" max="73" width="10.83203125" style="217"/>
    <col min="74" max="74" width="10.83203125" style="218"/>
    <col min="75" max="75" width="10.83203125" style="215"/>
    <col min="76" max="76" width="10.83203125" style="217"/>
    <col min="77" max="77" width="10.83203125" style="218"/>
    <col min="78" max="78" width="10.83203125" style="215"/>
    <col min="79" max="79" width="10.83203125" style="217"/>
    <col min="80" max="80" width="10.83203125" style="218"/>
    <col min="81" max="81" width="10.83203125" style="215"/>
    <col min="82" max="82" width="10.83203125" style="217"/>
    <col min="83" max="83" width="10.83203125" style="218"/>
    <col min="84" max="84" width="10.83203125" style="215"/>
    <col min="85" max="85" width="10.83203125" style="217"/>
    <col min="86" max="16384" width="10.83203125" style="215"/>
  </cols>
  <sheetData>
    <row r="1" spans="1:85" ht="39" customHeight="1" x14ac:dyDescent="0.2">
      <c r="B1" s="214" t="s">
        <v>608</v>
      </c>
    </row>
    <row r="2" spans="1:85" ht="64" x14ac:dyDescent="0.2">
      <c r="B2" s="214" t="s">
        <v>247</v>
      </c>
      <c r="C2" s="214" t="s">
        <v>247</v>
      </c>
      <c r="D2" s="221" t="s">
        <v>247</v>
      </c>
      <c r="E2" s="219" t="s">
        <v>257</v>
      </c>
      <c r="F2" s="214" t="s">
        <v>257</v>
      </c>
      <c r="G2" s="221" t="s">
        <v>257</v>
      </c>
      <c r="H2" s="219" t="s">
        <v>512</v>
      </c>
      <c r="I2" s="214" t="s">
        <v>512</v>
      </c>
      <c r="J2" s="221" t="s">
        <v>512</v>
      </c>
      <c r="K2" s="219" t="s">
        <v>267</v>
      </c>
      <c r="L2" s="214" t="str">
        <f>K2</f>
        <v>outdoor_AQ_action_txt</v>
      </c>
      <c r="M2" s="222" t="str">
        <f>L2</f>
        <v>outdoor_AQ_action_txt</v>
      </c>
      <c r="N2" s="219" t="s">
        <v>272</v>
      </c>
      <c r="O2" s="214" t="str">
        <f>N2</f>
        <v>indoor_monitor_action_txt</v>
      </c>
      <c r="P2" s="222" t="str">
        <f>O2</f>
        <v>indoor_monitor_action_txt</v>
      </c>
      <c r="Q2" s="219" t="s">
        <v>273</v>
      </c>
      <c r="R2" s="214" t="str">
        <f>Q2</f>
        <v>other_health_action_txt</v>
      </c>
      <c r="S2" s="222" t="str">
        <f>Q2</f>
        <v>other_health_action_txt</v>
      </c>
      <c r="T2" s="219" t="s">
        <v>426</v>
      </c>
      <c r="U2" s="214" t="str">
        <f>T2</f>
        <v>target_group_current_other_health_txt</v>
      </c>
      <c r="V2" s="222" t="str">
        <f>U2</f>
        <v>target_group_current_other_health_txt</v>
      </c>
      <c r="W2" s="219" t="s">
        <v>428</v>
      </c>
      <c r="X2" s="214" t="str">
        <f>W2</f>
        <v>target_group_current_other_txt</v>
      </c>
      <c r="Y2" s="222" t="str">
        <f>X2</f>
        <v>target_group_current_other_txt</v>
      </c>
      <c r="Z2" s="219" t="s">
        <v>432</v>
      </c>
      <c r="AA2" s="214" t="str">
        <f>Z2</f>
        <v>guidance_goal_protect_health_other_txt</v>
      </c>
      <c r="AB2" s="222" t="str">
        <f>AA2</f>
        <v>guidance_goal_protect_health_other_txt</v>
      </c>
      <c r="AC2" s="219" t="s">
        <v>279</v>
      </c>
      <c r="AD2" s="214" t="str">
        <f>AC2</f>
        <v>guidance_goal_other_txt</v>
      </c>
      <c r="AE2" s="222" t="str">
        <f>AD2</f>
        <v>guidance_goal_other_txt</v>
      </c>
      <c r="AF2" s="219" t="s">
        <v>284</v>
      </c>
      <c r="AG2" s="214" t="str">
        <f>AF2</f>
        <v>author_additional_info_txt</v>
      </c>
      <c r="AH2" s="222" t="str">
        <f>AG2</f>
        <v>author_additional_info_txt</v>
      </c>
      <c r="AI2" s="219" t="s">
        <v>286</v>
      </c>
      <c r="AJ2" s="214" t="str">
        <f>AI2</f>
        <v>dev_process_details_txt</v>
      </c>
      <c r="AK2" s="222" t="str">
        <f>AJ2</f>
        <v>dev_process_details_txt</v>
      </c>
      <c r="AL2" s="219" t="s">
        <v>292</v>
      </c>
      <c r="AM2" s="214" t="str">
        <f>AL2</f>
        <v>language_other_txt</v>
      </c>
      <c r="AN2" s="222" t="str">
        <f>AM2</f>
        <v>language_other_txt</v>
      </c>
      <c r="AO2" s="219" t="s">
        <v>539</v>
      </c>
      <c r="AP2" s="214" t="str">
        <f>AO2</f>
        <v>burden_other_txt</v>
      </c>
      <c r="AQ2" s="222" t="str">
        <f>AP2</f>
        <v>burden_other_txt</v>
      </c>
      <c r="AR2" s="219" t="s">
        <v>371</v>
      </c>
      <c r="AS2" s="214" t="str">
        <f>AR2</f>
        <v>effectsize_HEPA_txt</v>
      </c>
      <c r="AT2" s="222" t="str">
        <f>AS2</f>
        <v>effectsize_HEPA_txt</v>
      </c>
      <c r="AU2" s="219" t="s">
        <v>372</v>
      </c>
      <c r="AV2" s="214" t="str">
        <f>AU2</f>
        <v>effectsize_DIY_txt</v>
      </c>
      <c r="AW2" s="222" t="str">
        <f>AV2</f>
        <v>effectsize_DIY_txt</v>
      </c>
      <c r="AX2" s="219" t="s">
        <v>373</v>
      </c>
      <c r="AY2" s="214" t="str">
        <f>AX2</f>
        <v>effectsize_stay_indoors_txt</v>
      </c>
      <c r="AZ2" s="222" t="str">
        <f>AY2</f>
        <v>effectsize_stay_indoors_txt</v>
      </c>
      <c r="BA2" s="219" t="s">
        <v>374</v>
      </c>
      <c r="BB2" s="214" t="str">
        <f>BA2</f>
        <v>effectsize_reduce_exercise_txt</v>
      </c>
      <c r="BC2" s="222" t="str">
        <f>BB2</f>
        <v>effectsize_reduce_exercise_txt</v>
      </c>
      <c r="BD2" s="219" t="s">
        <v>375</v>
      </c>
      <c r="BE2" s="214" t="str">
        <f>BD2</f>
        <v>effectsize_mask_txt</v>
      </c>
      <c r="BF2" s="222" t="str">
        <f>BE2</f>
        <v>effectsize_mask_txt</v>
      </c>
      <c r="BG2" s="214" t="str">
        <f>BH2</f>
        <v>effectsize_other_action_txt</v>
      </c>
      <c r="BH2" s="214" t="s">
        <v>349</v>
      </c>
      <c r="BI2" s="221" t="str">
        <f>BH2</f>
        <v>effectsize_other_action_txt</v>
      </c>
      <c r="BJ2" s="219" t="s">
        <v>475</v>
      </c>
      <c r="BK2" s="214" t="str">
        <f>BJ2</f>
        <v>effectsize_burden_HEPA_txt</v>
      </c>
      <c r="BL2" s="222" t="str">
        <f>BK2</f>
        <v>effectsize_burden_HEPA_txt</v>
      </c>
      <c r="BM2" s="219" t="s">
        <v>481</v>
      </c>
      <c r="BN2" s="214" t="str">
        <f>BM2</f>
        <v>effectsize_burden_DIY_txt</v>
      </c>
      <c r="BO2" s="222" t="str">
        <f>BN2</f>
        <v>effectsize_burden_DIY_txt</v>
      </c>
      <c r="BP2" s="219" t="s">
        <v>487</v>
      </c>
      <c r="BQ2" s="214" t="str">
        <f>BP2</f>
        <v>effectsize_burden_stay_indoors_txt</v>
      </c>
      <c r="BR2" s="222" t="str">
        <f>BQ2</f>
        <v>effectsize_burden_stay_indoors_txt</v>
      </c>
      <c r="BS2" s="219" t="s">
        <v>493</v>
      </c>
      <c r="BT2" s="214" t="str">
        <f>BS2</f>
        <v>effectsize_burden_reduce_exercise_txt</v>
      </c>
      <c r="BU2" s="222" t="str">
        <f>BT2</f>
        <v>effectsize_burden_reduce_exercise_txt</v>
      </c>
      <c r="BV2" s="219" t="s">
        <v>499</v>
      </c>
      <c r="BW2" s="214" t="str">
        <f>BV2</f>
        <v>effectsize_burden_mask_txt</v>
      </c>
      <c r="BX2" s="222" t="str">
        <f>BW2</f>
        <v>effectsize_burden_mask_txt</v>
      </c>
      <c r="BY2" s="219" t="s">
        <v>501</v>
      </c>
      <c r="BZ2" s="214" t="str">
        <f>BY2</f>
        <v>effectsize_burden_other_action_txt</v>
      </c>
      <c r="CA2" s="222" t="str">
        <f>BZ2</f>
        <v>effectsize_burden_other_action_txt</v>
      </c>
      <c r="CB2" s="219" t="s">
        <v>361</v>
      </c>
      <c r="CC2" s="214" t="str">
        <f>CB2</f>
        <v>evidence_quality_other_action_txt</v>
      </c>
      <c r="CD2" s="222" t="str">
        <f>CC2</f>
        <v>evidence_quality_other_action_txt</v>
      </c>
      <c r="CE2" s="219" t="s">
        <v>300</v>
      </c>
      <c r="CF2" s="214" t="str">
        <f>CE2</f>
        <v>references_scientific_publications_txt</v>
      </c>
      <c r="CG2" s="222" t="str">
        <f>CF2</f>
        <v>references_scientific_publications_txt</v>
      </c>
    </row>
    <row r="3" spans="1:85" s="228" customFormat="1" ht="64" x14ac:dyDescent="0.2">
      <c r="A3" s="223" t="s">
        <v>240</v>
      </c>
      <c r="B3" s="223" t="str">
        <f>"MB_"&amp;B2</f>
        <v>MB_run_HVAC_filter_type_txt</v>
      </c>
      <c r="C3" s="223" t="str">
        <f>"SL_"&amp;C2</f>
        <v>SL_run_HVAC_filter_type_txt</v>
      </c>
      <c r="D3" s="224" t="str">
        <f>"agree_"&amp;D2</f>
        <v>agree_run_HVAC_filter_type_txt</v>
      </c>
      <c r="E3" s="225" t="str">
        <f t="shared" ref="E3:BP3" si="0">"MB_"&amp;E2</f>
        <v>MB_wear_mask_against_txt</v>
      </c>
      <c r="F3" s="223" t="str">
        <f>"SL_"&amp;F2</f>
        <v>SL_wear_mask_against_txt</v>
      </c>
      <c r="G3" s="224" t="str">
        <f>"agree_"&amp;G2</f>
        <v>agree_wear_mask_against_txt</v>
      </c>
      <c r="H3" s="225" t="str">
        <f t="shared" si="0"/>
        <v>MB_wear_mask_other_txt</v>
      </c>
      <c r="I3" s="223" t="str">
        <f>"SL_"&amp;I2</f>
        <v>SL_wear_mask_other_txt</v>
      </c>
      <c r="J3" s="224" t="str">
        <f>"agree_"&amp;J2</f>
        <v>agree_wear_mask_other_txt</v>
      </c>
      <c r="K3" s="225" t="str">
        <f t="shared" si="0"/>
        <v>MB_outdoor_AQ_action_txt</v>
      </c>
      <c r="L3" s="223" t="str">
        <f>"SL_"&amp;L2</f>
        <v>SL_outdoor_AQ_action_txt</v>
      </c>
      <c r="M3" s="224" t="str">
        <f>"agree_"&amp;M2</f>
        <v>agree_outdoor_AQ_action_txt</v>
      </c>
      <c r="N3" s="225" t="str">
        <f t="shared" si="0"/>
        <v>MB_indoor_monitor_action_txt</v>
      </c>
      <c r="O3" s="223" t="str">
        <f>"SL_"&amp;O2</f>
        <v>SL_indoor_monitor_action_txt</v>
      </c>
      <c r="P3" s="224" t="str">
        <f>"agree_"&amp;P2</f>
        <v>agree_indoor_monitor_action_txt</v>
      </c>
      <c r="Q3" s="225" t="str">
        <f t="shared" si="0"/>
        <v>MB_other_health_action_txt</v>
      </c>
      <c r="R3" s="223" t="str">
        <f>"SL_"&amp;R2</f>
        <v>SL_other_health_action_txt</v>
      </c>
      <c r="S3" s="224" t="str">
        <f>"agree_"&amp;S2</f>
        <v>agree_other_health_action_txt</v>
      </c>
      <c r="T3" s="225" t="str">
        <f t="shared" si="0"/>
        <v>MB_target_group_current_other_health_txt</v>
      </c>
      <c r="U3" s="223" t="str">
        <f>"SL_"&amp;U2</f>
        <v>SL_target_group_current_other_health_txt</v>
      </c>
      <c r="V3" s="224" t="str">
        <f>"agree_"&amp;V2</f>
        <v>agree_target_group_current_other_health_txt</v>
      </c>
      <c r="W3" s="225" t="str">
        <f t="shared" si="0"/>
        <v>MB_target_group_current_other_txt</v>
      </c>
      <c r="X3" s="223" t="str">
        <f>"SL_"&amp;X2</f>
        <v>SL_target_group_current_other_txt</v>
      </c>
      <c r="Y3" s="224" t="str">
        <f>"agree_"&amp;Y2</f>
        <v>agree_target_group_current_other_txt</v>
      </c>
      <c r="Z3" s="225" t="str">
        <f t="shared" si="0"/>
        <v>MB_guidance_goal_protect_health_other_txt</v>
      </c>
      <c r="AA3" s="223" t="str">
        <f>"SL_"&amp;AA2</f>
        <v>SL_guidance_goal_protect_health_other_txt</v>
      </c>
      <c r="AB3" s="224" t="str">
        <f>"agree_"&amp;AB2</f>
        <v>agree_guidance_goal_protect_health_other_txt</v>
      </c>
      <c r="AC3" s="225" t="str">
        <f t="shared" si="0"/>
        <v>MB_guidance_goal_other_txt</v>
      </c>
      <c r="AD3" s="223" t="str">
        <f>"SL_"&amp;AD2</f>
        <v>SL_guidance_goal_other_txt</v>
      </c>
      <c r="AE3" s="224" t="str">
        <f>"agree_"&amp;AE2</f>
        <v>agree_guidance_goal_other_txt</v>
      </c>
      <c r="AF3" s="225" t="str">
        <f t="shared" si="0"/>
        <v>MB_author_additional_info_txt</v>
      </c>
      <c r="AG3" s="223" t="str">
        <f>"SL_"&amp;AG2</f>
        <v>SL_author_additional_info_txt</v>
      </c>
      <c r="AH3" s="224" t="str">
        <f>"agree_"&amp;AH2</f>
        <v>agree_author_additional_info_txt</v>
      </c>
      <c r="AI3" s="225" t="str">
        <f t="shared" si="0"/>
        <v>MB_dev_process_details_txt</v>
      </c>
      <c r="AJ3" s="223" t="str">
        <f>"SL_"&amp;AJ2</f>
        <v>SL_dev_process_details_txt</v>
      </c>
      <c r="AK3" s="224" t="str">
        <f>"agree_"&amp;AK2</f>
        <v>agree_dev_process_details_txt</v>
      </c>
      <c r="AL3" s="225" t="str">
        <f t="shared" si="0"/>
        <v>MB_language_other_txt</v>
      </c>
      <c r="AM3" s="223" t="str">
        <f>"SL_"&amp;AM2</f>
        <v>SL_language_other_txt</v>
      </c>
      <c r="AN3" s="224" t="str">
        <f>"agree_"&amp;AN2</f>
        <v>agree_language_other_txt</v>
      </c>
      <c r="AO3" s="225" t="str">
        <f t="shared" si="0"/>
        <v>MB_burden_other_txt</v>
      </c>
      <c r="AP3" s="223" t="str">
        <f>"SL_"&amp;AP2</f>
        <v>SL_burden_other_txt</v>
      </c>
      <c r="AQ3" s="224" t="str">
        <f>"agree_"&amp;AQ2</f>
        <v>agree_burden_other_txt</v>
      </c>
      <c r="AR3" s="225" t="str">
        <f t="shared" si="0"/>
        <v>MB_effectsize_HEPA_txt</v>
      </c>
      <c r="AS3" s="223" t="str">
        <f>"SL_"&amp;AS2</f>
        <v>SL_effectsize_HEPA_txt</v>
      </c>
      <c r="AT3" s="224" t="str">
        <f>"agree_"&amp;AT2</f>
        <v>agree_effectsize_HEPA_txt</v>
      </c>
      <c r="AU3" s="225" t="str">
        <f t="shared" si="0"/>
        <v>MB_effectsize_DIY_txt</v>
      </c>
      <c r="AV3" s="223" t="str">
        <f>"SL_"&amp;AV2</f>
        <v>SL_effectsize_DIY_txt</v>
      </c>
      <c r="AW3" s="224" t="str">
        <f>"agree_"&amp;AW2</f>
        <v>agree_effectsize_DIY_txt</v>
      </c>
      <c r="AX3" s="225" t="str">
        <f t="shared" si="0"/>
        <v>MB_effectsize_stay_indoors_txt</v>
      </c>
      <c r="AY3" s="223" t="str">
        <f>"SL_"&amp;AY2</f>
        <v>SL_effectsize_stay_indoors_txt</v>
      </c>
      <c r="AZ3" s="224" t="str">
        <f>"agree_"&amp;AZ2</f>
        <v>agree_effectsize_stay_indoors_txt</v>
      </c>
      <c r="BA3" s="225" t="str">
        <f t="shared" si="0"/>
        <v>MB_effectsize_reduce_exercise_txt</v>
      </c>
      <c r="BB3" s="223" t="str">
        <f>"SL_"&amp;BB2</f>
        <v>SL_effectsize_reduce_exercise_txt</v>
      </c>
      <c r="BC3" s="224" t="str">
        <f>"agree_"&amp;BC2</f>
        <v>agree_effectsize_reduce_exercise_txt</v>
      </c>
      <c r="BD3" s="225" t="str">
        <f t="shared" si="0"/>
        <v>MB_effectsize_mask_txt</v>
      </c>
      <c r="BE3" s="223" t="str">
        <f>"SL_"&amp;BE2</f>
        <v>SL_effectsize_mask_txt</v>
      </c>
      <c r="BF3" s="224" t="str">
        <f>"agree_"&amp;BF2</f>
        <v>agree_effectsize_mask_txt</v>
      </c>
      <c r="BG3" s="226" t="str">
        <f>"MB_"&amp;BG2</f>
        <v>MB_effectsize_other_action_txt</v>
      </c>
      <c r="BH3" s="223" t="str">
        <f>"SL_"&amp;BH2</f>
        <v>SL_effectsize_other_action_txt</v>
      </c>
      <c r="BI3" s="227" t="str">
        <f>"agree_"&amp;BI2</f>
        <v>agree_effectsize_other_action_txt</v>
      </c>
      <c r="BJ3" s="225" t="str">
        <f t="shared" si="0"/>
        <v>MB_effectsize_burden_HEPA_txt</v>
      </c>
      <c r="BK3" s="223" t="str">
        <f>"SL_"&amp;BK2</f>
        <v>SL_effectsize_burden_HEPA_txt</v>
      </c>
      <c r="BL3" s="224" t="str">
        <f>"agree_"&amp;BL2</f>
        <v>agree_effectsize_burden_HEPA_txt</v>
      </c>
      <c r="BM3" s="225" t="str">
        <f t="shared" si="0"/>
        <v>MB_effectsize_burden_DIY_txt</v>
      </c>
      <c r="BN3" s="223" t="str">
        <f>"SL_"&amp;BN2</f>
        <v>SL_effectsize_burden_DIY_txt</v>
      </c>
      <c r="BO3" s="224" t="str">
        <f>"agree_"&amp;BO2</f>
        <v>agree_effectsize_burden_DIY_txt</v>
      </c>
      <c r="BP3" s="225" t="str">
        <f t="shared" si="0"/>
        <v>MB_effectsize_burden_stay_indoors_txt</v>
      </c>
      <c r="BQ3" s="223" t="str">
        <f>"SL_"&amp;BQ2</f>
        <v>SL_effectsize_burden_stay_indoors_txt</v>
      </c>
      <c r="BR3" s="224" t="str">
        <f>"agree_"&amp;BR2</f>
        <v>agree_effectsize_burden_stay_indoors_txt</v>
      </c>
      <c r="BS3" s="225" t="str">
        <f t="shared" ref="BS3:CE3" si="1">"MB_"&amp;BS2</f>
        <v>MB_effectsize_burden_reduce_exercise_txt</v>
      </c>
      <c r="BT3" s="223" t="str">
        <f>"SL_"&amp;BT2</f>
        <v>SL_effectsize_burden_reduce_exercise_txt</v>
      </c>
      <c r="BU3" s="224" t="str">
        <f>"agree_"&amp;BU2</f>
        <v>agree_effectsize_burden_reduce_exercise_txt</v>
      </c>
      <c r="BV3" s="225" t="str">
        <f t="shared" si="1"/>
        <v>MB_effectsize_burden_mask_txt</v>
      </c>
      <c r="BW3" s="223" t="str">
        <f>"SL_"&amp;BW2</f>
        <v>SL_effectsize_burden_mask_txt</v>
      </c>
      <c r="BX3" s="224" t="str">
        <f>"agree_"&amp;BX2</f>
        <v>agree_effectsize_burden_mask_txt</v>
      </c>
      <c r="BY3" s="225" t="str">
        <f t="shared" si="1"/>
        <v>MB_effectsize_burden_other_action_txt</v>
      </c>
      <c r="BZ3" s="223" t="str">
        <f>"SL_"&amp;BZ2</f>
        <v>SL_effectsize_burden_other_action_txt</v>
      </c>
      <c r="CA3" s="224" t="str">
        <f>"agree_"&amp;CA2</f>
        <v>agree_effectsize_burden_other_action_txt</v>
      </c>
      <c r="CB3" s="225" t="str">
        <f t="shared" si="1"/>
        <v>MB_evidence_quality_other_action_txt</v>
      </c>
      <c r="CC3" s="223" t="str">
        <f>"SL_"&amp;CC2</f>
        <v>SL_evidence_quality_other_action_txt</v>
      </c>
      <c r="CD3" s="224" t="str">
        <f>"agree_"&amp;CD2</f>
        <v>agree_evidence_quality_other_action_txt</v>
      </c>
      <c r="CE3" s="225" t="str">
        <f t="shared" si="1"/>
        <v>MB_references_scientific_publications_txt</v>
      </c>
      <c r="CF3" s="223" t="str">
        <f>"SL_"&amp;CF2</f>
        <v>SL_references_scientific_publications_txt</v>
      </c>
      <c r="CG3" s="224" t="str">
        <f>"agree_"&amp;CG2</f>
        <v>agree_references_scientific_publications_txt</v>
      </c>
    </row>
    <row r="4" spans="1:85" ht="16" x14ac:dyDescent="0.2">
      <c r="A4" s="215" t="s">
        <v>540</v>
      </c>
      <c r="B4" s="215" t="s">
        <v>588</v>
      </c>
      <c r="C4" s="214" t="s">
        <v>588</v>
      </c>
      <c r="D4" s="217" t="str">
        <f>IF(IF(OR(B4=0,B4="N/A"),"MISSING",B4)=IF(OR(C4=0,C4="N/A"),"MISSING",C4),"YES","MANUAL_ASSESS")</f>
        <v>YES</v>
      </c>
      <c r="E4" s="218">
        <v>0</v>
      </c>
      <c r="F4" s="215" t="s">
        <v>588</v>
      </c>
      <c r="G4" s="217" t="str">
        <f>IF(IF(OR(E4=0,E4="N/A"),"MISSING",E4)=IF(OR(F4=0,F4="N/A"),"MISSING",F4),"YES","MANUAL_ASSESS")</f>
        <v>YES</v>
      </c>
      <c r="H4" s="218">
        <v>0</v>
      </c>
      <c r="I4" s="215" t="s">
        <v>588</v>
      </c>
      <c r="J4" s="217" t="str">
        <f>IF(IF(OR(H4=0,H4="N/A"),"MISSING",H4)=IF(OR(I4=0,I4="N/A"),"MISSING",I4),"YES","MANUAL_ASSESS")</f>
        <v>YES</v>
      </c>
      <c r="K4" s="219">
        <v>0</v>
      </c>
      <c r="L4" s="215" t="s">
        <v>588</v>
      </c>
      <c r="M4" s="217" t="str">
        <f>IF(IF(OR(K4=0,K4="N/A"),"MISSING",K4)=IF(OR(L4=0,L4="N/A"),"MISSING",L4),"YES","MANUAL_ASSESS")</f>
        <v>YES</v>
      </c>
      <c r="N4" s="218">
        <v>0</v>
      </c>
      <c r="O4" s="215" t="s">
        <v>588</v>
      </c>
      <c r="P4" s="217" t="str">
        <f>IF(IF(OR(N4=0,N4="N/A"),"MISSING",N4)=IF(OR(O4=0,O4="N/A"),"MISSING",O4),"YES","MANUAL_ASSESS")</f>
        <v>YES</v>
      </c>
      <c r="Q4" s="219">
        <v>0</v>
      </c>
      <c r="R4" s="214" t="s">
        <v>589</v>
      </c>
      <c r="S4" s="217" t="s">
        <v>542</v>
      </c>
      <c r="T4" s="218">
        <v>0</v>
      </c>
      <c r="U4" s="215" t="s">
        <v>588</v>
      </c>
      <c r="V4" s="217" t="str">
        <f>IF(IF(OR(T4=0,T4="N/A"),"MISSING",T4)=IF(OR(U4=0,U4="N/A"),"MISSING",U4),"YES","MANUAL_ASSESS")</f>
        <v>YES</v>
      </c>
      <c r="W4" s="218">
        <v>0</v>
      </c>
      <c r="X4" s="215" t="s">
        <v>588</v>
      </c>
      <c r="Y4" s="217" t="str">
        <f>IF(IF(OR(W4=0,W4="N/A"),"MISSING",W4)=IF(OR(X4=0,X4="N/A"),"MISSING",X4),"YES","MANUAL_ASSESS")</f>
        <v>YES</v>
      </c>
      <c r="Z4" s="218">
        <v>0</v>
      </c>
      <c r="AA4" s="215" t="s">
        <v>588</v>
      </c>
      <c r="AB4" s="217" t="str">
        <f>IF(IF(OR(Z4=0,Z4="N/A"),"MISSING",Z4)=IF(OR(AA4=0,AA4="N/A"),"MISSING",AA4),"YES","MANUAL_ASSESS")</f>
        <v>YES</v>
      </c>
      <c r="AC4" s="218">
        <v>0</v>
      </c>
      <c r="AD4" s="215" t="s">
        <v>588</v>
      </c>
      <c r="AE4" s="217" t="str">
        <f>IF(IF(OR(AC4=0,AC4="N/A"),"MISSING",AC4)=IF(OR(AD4=0,AD4="N/A"),"MISSING",AD4),"YES","MANUAL_ASSESS")</f>
        <v>YES</v>
      </c>
      <c r="AF4" s="218" t="s">
        <v>588</v>
      </c>
      <c r="AG4" s="215" t="s">
        <v>588</v>
      </c>
      <c r="AH4" s="217" t="str">
        <f>IF(IF(OR(AF4=0,AF4="N/A"),"MISSING",AF4)=IF(OR(AG4=0,AG4="N/A"),"MISSING",AG4),"YES","MANUAL_ASSESS")</f>
        <v>YES</v>
      </c>
      <c r="AI4" s="218" t="s">
        <v>588</v>
      </c>
      <c r="AJ4" s="215" t="s">
        <v>588</v>
      </c>
      <c r="AK4" s="217" t="str">
        <f>IF(IF(OR(AI4=0,AI4="N/A"),"MISSING",AI4)=IF(OR(AJ4=0,AJ4="N/A"),"MISSING",AJ4),"YES","MANUAL_ASSESS")</f>
        <v>YES</v>
      </c>
      <c r="AL4" s="218">
        <v>0</v>
      </c>
      <c r="AM4" s="215" t="s">
        <v>588</v>
      </c>
      <c r="AN4" s="217" t="str">
        <f>IF(IF(OR(AL4=0,AL4="N/A"),"MISSING",AL4)=IF(OR(AM4=0,AM4="N/A"),"MISSING",AM4),"YES","MANUAL_ASSESS")</f>
        <v>YES</v>
      </c>
      <c r="AO4" s="218">
        <v>0</v>
      </c>
      <c r="AP4" s="215" t="s">
        <v>588</v>
      </c>
      <c r="AQ4" s="217" t="str">
        <f>IF(IF(OR(AO4=0,AO4="N/A"),"MISSING",AO4)=IF(OR(AP4=0,AP4="N/A"),"MISSING",AP4),"YES","MANUAL_ASSESS")</f>
        <v>YES</v>
      </c>
      <c r="AR4" s="218">
        <v>0</v>
      </c>
      <c r="AS4" s="215" t="s">
        <v>588</v>
      </c>
      <c r="AT4" s="217" t="str">
        <f>IF(IF(OR(AR4=0,AR4="N/A"),"MISSING",AR4)=IF(OR(AS4=0,AS4="N/A"),"MISSING",AS4),"YES","MANUAL_ASSESS")</f>
        <v>YES</v>
      </c>
      <c r="AU4" s="218">
        <v>0</v>
      </c>
      <c r="AV4" s="215" t="s">
        <v>588</v>
      </c>
      <c r="AW4" s="217" t="str">
        <f>IF(IF(OR(AU4=0,AU4="N/A"),"MISSING",AU4)=IF(OR(AV4=0,AV4="N/A"),"MISSING",AV4),"YES","MANUAL_ASSESS")</f>
        <v>YES</v>
      </c>
      <c r="AX4" s="218">
        <v>0</v>
      </c>
      <c r="AY4" s="215" t="s">
        <v>588</v>
      </c>
      <c r="AZ4" s="217" t="str">
        <f>IF(IF(OR(AX4=0,AX4="N/A"),"MISSING",AX4)=IF(OR(AY4=0,AY4="N/A"),"MISSING",AY4),"YES","MANUAL_ASSESS")</f>
        <v>YES</v>
      </c>
      <c r="BA4" s="218">
        <v>0</v>
      </c>
      <c r="BB4" s="215" t="s">
        <v>588</v>
      </c>
      <c r="BC4" s="217" t="str">
        <f>IF(IF(OR(BA4=0,BA4="N/A"),"MISSING",BA4)=IF(OR(BB4=0,BB4="N/A"),"MISSING",BB4),"YES","MANUAL_ASSESS")</f>
        <v>YES</v>
      </c>
      <c r="BD4" s="218">
        <v>0</v>
      </c>
      <c r="BE4" s="215" t="s">
        <v>588</v>
      </c>
      <c r="BF4" s="217" t="str">
        <f>IF(IF(OR(BD4=0,BD4="N/A"),"MISSING",BD4)=IF(OR(BE4=0,BE4="N/A"),"MISSING",BE4),"YES","MANUAL_ASSESS")</f>
        <v>YES</v>
      </c>
      <c r="BG4" s="215" t="s">
        <v>588</v>
      </c>
      <c r="BH4" s="215" t="s">
        <v>588</v>
      </c>
      <c r="BI4" s="217" t="str">
        <f>IF(IF(OR(BG4=0,BG4="N/A"),"MISSING",BG4)=IF(OR(BH4=0,BH4="N/A"),"MISSING",BH4),"YES","MANUAL_ASSESS")</f>
        <v>YES</v>
      </c>
      <c r="BJ4" s="218">
        <v>0</v>
      </c>
      <c r="BK4" s="215" t="s">
        <v>588</v>
      </c>
      <c r="BL4" s="217" t="str">
        <f>IF(IF(OR(BJ4=0,BJ4="N/A"),"MISSING",BJ4)=IF(OR(BK4=0,BK4="N/A"),"MISSING",BK4),"YES","MANUAL_ASSESS")</f>
        <v>YES</v>
      </c>
      <c r="BM4" s="218">
        <v>0</v>
      </c>
      <c r="BN4" s="215" t="s">
        <v>588</v>
      </c>
      <c r="BO4" s="217" t="str">
        <f>IF(IF(OR(BM4=0,BM4="N/A"),"MISSING",BM4)=IF(OR(BN4=0,BN4="N/A"),"MISSING",BN4),"YES","MANUAL_ASSESS")</f>
        <v>YES</v>
      </c>
      <c r="BP4" s="218" t="s">
        <v>588</v>
      </c>
      <c r="BQ4" s="215" t="s">
        <v>588</v>
      </c>
      <c r="BR4" s="217" t="str">
        <f>IF(IF(OR(BP4=0,BP4="N/A"),"MISSING",BP4)=IF(OR(BQ4=0,BQ4="N/A"),"MISSING",BQ4),"YES","MANUAL_ASSESS")</f>
        <v>YES</v>
      </c>
      <c r="BS4" s="218" t="s">
        <v>588</v>
      </c>
      <c r="BT4" s="215" t="s">
        <v>588</v>
      </c>
      <c r="BU4" s="217" t="str">
        <f>IF(IF(OR(BS4=0,BS4="N/A"),"MISSING",BS4)=IF(OR(BT4=0,BT4="N/A"),"MISSING",BT4),"YES","MANUAL_ASSESS")</f>
        <v>YES</v>
      </c>
      <c r="BV4" s="218" t="s">
        <v>588</v>
      </c>
      <c r="BW4" s="215" t="s">
        <v>588</v>
      </c>
      <c r="BX4" s="217" t="str">
        <f>IF(IF(OR(BV4=0,BV4="N/A"),"MISSING",BV4)=IF(OR(BW4=0,BW4="N/A"),"MISSING",BW4),"YES","MANUAL_ASSESS")</f>
        <v>YES</v>
      </c>
      <c r="BY4" s="218" t="s">
        <v>588</v>
      </c>
      <c r="BZ4" s="215" t="s">
        <v>588</v>
      </c>
      <c r="CA4" s="217" t="str">
        <f>IF(IF(OR(BY4=0,BY4="N/A"),"MISSING",BY4)=IF(OR(BZ4=0,BZ4="N/A"),"MISSING",BZ4),"YES","MANUAL_ASSESS")</f>
        <v>YES</v>
      </c>
      <c r="CB4" s="218" t="s">
        <v>588</v>
      </c>
      <c r="CC4" s="215" t="s">
        <v>588</v>
      </c>
      <c r="CD4" s="217" t="str">
        <f>IF(IF(OR(CB4=0,CB4="N/A"),"MISSING",CB4)=IF(OR(CC4=0,CC4="N/A"),"MISSING",CC4),"YES","MANUAL_ASSESS")</f>
        <v>YES</v>
      </c>
      <c r="CE4" s="218" t="s">
        <v>588</v>
      </c>
      <c r="CF4" s="215" t="s">
        <v>588</v>
      </c>
      <c r="CG4" s="217" t="str">
        <f>IF(IF(OR(CE4=0,CE4="N/A"),"MISSING",CE4)=IF(OR(CF4=0,CF4="N/A"),"MISSING",CF4),"YES","MANUAL_ASSESS")</f>
        <v>YES</v>
      </c>
    </row>
    <row r="5" spans="1:85" ht="16" x14ac:dyDescent="0.2">
      <c r="A5" s="215" t="s">
        <v>543</v>
      </c>
      <c r="B5" s="215" t="s">
        <v>609</v>
      </c>
      <c r="C5" s="214" t="s">
        <v>586</v>
      </c>
      <c r="D5" s="217" t="str">
        <f t="shared" ref="D5:D31" si="2">IF(IF(OR(B5=0,B5="N/A"),"MISSING",B5)=IF(OR(C5=0,C5="N/A"),"MISSING",C5),"YES","MANUAL_ASSESS")</f>
        <v>YES</v>
      </c>
      <c r="E5" s="218">
        <v>0</v>
      </c>
      <c r="F5" s="215" t="s">
        <v>588</v>
      </c>
      <c r="G5" s="217" t="str">
        <f t="shared" ref="G5:G31" si="3">IF(IF(OR(E5=0,E5="N/A"),"MISSING",E5)=IF(OR(F5=0,F5="N/A"),"MISSING",F5),"YES","MANUAL_ASSESS")</f>
        <v>YES</v>
      </c>
      <c r="H5" s="218">
        <v>0</v>
      </c>
      <c r="I5" s="215" t="s">
        <v>588</v>
      </c>
      <c r="J5" s="217" t="str">
        <f t="shared" ref="J5:J31" si="4">IF(IF(OR(H5=0,H5="N/A"),"MISSING",H5)=IF(OR(I5=0,I5="N/A"),"MISSING",I5),"YES","MANUAL_ASSESS")</f>
        <v>YES</v>
      </c>
      <c r="K5" s="215" t="s">
        <v>590</v>
      </c>
      <c r="L5" s="215" t="s">
        <v>590</v>
      </c>
      <c r="M5" s="217" t="str">
        <f t="shared" ref="M5:M29" si="5">IF(IF(OR(K5=0,K5="N/A"),"MISSING",K5)=IF(OR(L5=0,L5="N/A"),"MISSING",L5),"YES","MANUAL_ASSESS")</f>
        <v>YES</v>
      </c>
      <c r="N5" s="218">
        <v>0</v>
      </c>
      <c r="O5" s="215" t="s">
        <v>588</v>
      </c>
      <c r="P5" s="217" t="str">
        <f t="shared" ref="P5:P31" si="6">IF(IF(OR(N5=0,N5="N/A"),"MISSING",N5)=IF(OR(O5=0,O5="N/A"),"MISSING",O5),"YES","MANUAL_ASSESS")</f>
        <v>YES</v>
      </c>
      <c r="Q5" s="219">
        <v>0</v>
      </c>
      <c r="R5" s="214" t="s">
        <v>589</v>
      </c>
      <c r="S5" s="217" t="s">
        <v>542</v>
      </c>
      <c r="T5" s="218">
        <v>0</v>
      </c>
      <c r="U5" s="215" t="s">
        <v>588</v>
      </c>
      <c r="V5" s="217" t="str">
        <f t="shared" ref="V5:V31" si="7">IF(IF(OR(T5=0,T5="N/A"),"MISSING",T5)=IF(OR(U5=0,U5="N/A"),"MISSING",U5),"YES","MANUAL_ASSESS")</f>
        <v>YES</v>
      </c>
      <c r="W5" s="218">
        <v>0</v>
      </c>
      <c r="X5" s="215" t="s">
        <v>588</v>
      </c>
      <c r="Y5" s="217" t="str">
        <f t="shared" ref="Y5:Y31" si="8">IF(IF(OR(W5=0,W5="N/A"),"MISSING",W5)=IF(OR(X5=0,X5="N/A"),"MISSING",X5),"YES","MANUAL_ASSESS")</f>
        <v>YES</v>
      </c>
      <c r="Z5" s="218">
        <v>0</v>
      </c>
      <c r="AA5" s="215" t="s">
        <v>588</v>
      </c>
      <c r="AB5" s="217" t="str">
        <f t="shared" ref="AB5:AB31" si="9">IF(IF(OR(Z5=0,Z5="N/A"),"MISSING",Z5)=IF(OR(AA5=0,AA5="N/A"),"MISSING",AA5),"YES","MANUAL_ASSESS")</f>
        <v>YES</v>
      </c>
      <c r="AC5" s="218">
        <v>0</v>
      </c>
      <c r="AD5" s="215" t="s">
        <v>588</v>
      </c>
      <c r="AE5" s="217" t="str">
        <f t="shared" ref="AE5:AE31" si="10">IF(IF(OR(AC5=0,AC5="N/A"),"MISSING",AC5)=IF(OR(AD5=0,AD5="N/A"),"MISSING",AD5),"YES","MANUAL_ASSESS")</f>
        <v>YES</v>
      </c>
      <c r="AF5" s="218" t="s">
        <v>588</v>
      </c>
      <c r="AG5" s="215" t="s">
        <v>588</v>
      </c>
      <c r="AH5" s="217" t="str">
        <f t="shared" ref="AH5:AH31" si="11">IF(IF(OR(AF5=0,AF5="N/A"),"MISSING",AF5)=IF(OR(AG5=0,AG5="N/A"),"MISSING",AG5),"YES","MANUAL_ASSESS")</f>
        <v>YES</v>
      </c>
      <c r="AI5" s="218" t="s">
        <v>588</v>
      </c>
      <c r="AJ5" s="215" t="s">
        <v>588</v>
      </c>
      <c r="AK5" s="217" t="str">
        <f t="shared" ref="AK5:AK31" si="12">IF(IF(OR(AI5=0,AI5="N/A"),"MISSING",AI5)=IF(OR(AJ5=0,AJ5="N/A"),"MISSING",AJ5),"YES","MANUAL_ASSESS")</f>
        <v>YES</v>
      </c>
      <c r="AL5" s="218">
        <v>0</v>
      </c>
      <c r="AM5" s="215" t="s">
        <v>588</v>
      </c>
      <c r="AN5" s="217" t="str">
        <f t="shared" ref="AN5:AN31" si="13">IF(IF(OR(AL5=0,AL5="N/A"),"MISSING",AL5)=IF(OR(AM5=0,AM5="N/A"),"MISSING",AM5),"YES","MANUAL_ASSESS")</f>
        <v>YES</v>
      </c>
      <c r="AO5" s="218">
        <v>0</v>
      </c>
      <c r="AP5" s="215" t="s">
        <v>588</v>
      </c>
      <c r="AQ5" s="217" t="str">
        <f t="shared" ref="AQ5:AQ31" si="14">IF(IF(OR(AO5=0,AO5="N/A"),"MISSING",AO5)=IF(OR(AP5=0,AP5="N/A"),"MISSING",AP5),"YES","MANUAL_ASSESS")</f>
        <v>YES</v>
      </c>
      <c r="AR5" s="218">
        <v>0</v>
      </c>
      <c r="AS5" s="215" t="s">
        <v>588</v>
      </c>
      <c r="AT5" s="217" t="str">
        <f t="shared" ref="AT5:AT31" si="15">IF(IF(OR(AR5=0,AR5="N/A"),"MISSING",AR5)=IF(OR(AS5=0,AS5="N/A"),"MISSING",AS5),"YES","MANUAL_ASSESS")</f>
        <v>YES</v>
      </c>
      <c r="AU5" s="218">
        <v>0</v>
      </c>
      <c r="AV5" s="215" t="s">
        <v>588</v>
      </c>
      <c r="AW5" s="217" t="str">
        <f t="shared" ref="AW5:AW31" si="16">IF(IF(OR(AU5=0,AU5="N/A"),"MISSING",AU5)=IF(OR(AV5=0,AV5="N/A"),"MISSING",AV5),"YES","MANUAL_ASSESS")</f>
        <v>YES</v>
      </c>
      <c r="AX5" s="218">
        <v>0</v>
      </c>
      <c r="AY5" s="215" t="s">
        <v>588</v>
      </c>
      <c r="AZ5" s="217" t="str">
        <f t="shared" ref="AZ5:AZ31" si="17">IF(IF(OR(AX5=0,AX5="N/A"),"MISSING",AX5)=IF(OR(AY5=0,AY5="N/A"),"MISSING",AY5),"YES","MANUAL_ASSESS")</f>
        <v>YES</v>
      </c>
      <c r="BA5" s="218">
        <v>0</v>
      </c>
      <c r="BB5" s="215" t="s">
        <v>588</v>
      </c>
      <c r="BC5" s="217" t="str">
        <f t="shared" ref="BC5:BC31" si="18">IF(IF(OR(BA5=0,BA5="N/A"),"MISSING",BA5)=IF(OR(BB5=0,BB5="N/A"),"MISSING",BB5),"YES","MANUAL_ASSESS")</f>
        <v>YES</v>
      </c>
      <c r="BD5" s="218">
        <v>0</v>
      </c>
      <c r="BE5" s="215" t="s">
        <v>588</v>
      </c>
      <c r="BF5" s="217" t="str">
        <f t="shared" ref="BF5:BF31" si="19">IF(IF(OR(BD5=0,BD5="N/A"),"MISSING",BD5)=IF(OR(BE5=0,BE5="N/A"),"MISSING",BE5),"YES","MANUAL_ASSESS")</f>
        <v>YES</v>
      </c>
      <c r="BG5" s="215" t="s">
        <v>588</v>
      </c>
      <c r="BH5" s="215" t="s">
        <v>588</v>
      </c>
      <c r="BI5" s="217" t="str">
        <f t="shared" ref="BI5:BI31" si="20">IF(IF(OR(BG5=0,BG5="N/A"),"MISSING",BG5)=IF(OR(BH5=0,BH5="N/A"),"MISSING",BH5),"YES","MANUAL_ASSESS")</f>
        <v>YES</v>
      </c>
      <c r="BJ5" s="218">
        <v>0</v>
      </c>
      <c r="BK5" s="215" t="s">
        <v>588</v>
      </c>
      <c r="BL5" s="217" t="str">
        <f t="shared" ref="BL5:BL31" si="21">IF(IF(OR(BJ5=0,BJ5="N/A"),"MISSING",BJ5)=IF(OR(BK5=0,BK5="N/A"),"MISSING",BK5),"YES","MANUAL_ASSESS")</f>
        <v>YES</v>
      </c>
      <c r="BM5" s="218">
        <v>0</v>
      </c>
      <c r="BN5" s="215" t="s">
        <v>588</v>
      </c>
      <c r="BO5" s="217" t="str">
        <f t="shared" ref="BO5:BO31" si="22">IF(IF(OR(BM5=0,BM5="N/A"),"MISSING",BM5)=IF(OR(BN5=0,BN5="N/A"),"MISSING",BN5),"YES","MANUAL_ASSESS")</f>
        <v>YES</v>
      </c>
      <c r="BP5" s="218" t="s">
        <v>588</v>
      </c>
      <c r="BQ5" s="215" t="s">
        <v>588</v>
      </c>
      <c r="BR5" s="217" t="str">
        <f t="shared" ref="BR5:BR31" si="23">IF(IF(OR(BP5=0,BP5="N/A"),"MISSING",BP5)=IF(OR(BQ5=0,BQ5="N/A"),"MISSING",BQ5),"YES","MANUAL_ASSESS")</f>
        <v>YES</v>
      </c>
      <c r="BS5" s="218" t="s">
        <v>588</v>
      </c>
      <c r="BT5" s="215" t="s">
        <v>588</v>
      </c>
      <c r="BU5" s="217" t="str">
        <f t="shared" ref="BU5:BU31" si="24">IF(IF(OR(BS5=0,BS5="N/A"),"MISSING",BS5)=IF(OR(BT5=0,BT5="N/A"),"MISSING",BT5),"YES","MANUAL_ASSESS")</f>
        <v>YES</v>
      </c>
      <c r="BV5" s="218" t="s">
        <v>588</v>
      </c>
      <c r="BW5" s="215" t="s">
        <v>588</v>
      </c>
      <c r="BX5" s="217" t="str">
        <f t="shared" ref="BX5:BX31" si="25">IF(IF(OR(BV5=0,BV5="N/A"),"MISSING",BV5)=IF(OR(BW5=0,BW5="N/A"),"MISSING",BW5),"YES","MANUAL_ASSESS")</f>
        <v>YES</v>
      </c>
      <c r="BY5" s="218" t="s">
        <v>588</v>
      </c>
      <c r="BZ5" s="215" t="s">
        <v>588</v>
      </c>
      <c r="CA5" s="217" t="str">
        <f t="shared" ref="CA5:CA31" si="26">IF(IF(OR(BY5=0,BY5="N/A"),"MISSING",BY5)=IF(OR(BZ5=0,BZ5="N/A"),"MISSING",BZ5),"YES","MANUAL_ASSESS")</f>
        <v>YES</v>
      </c>
      <c r="CB5" s="218" t="s">
        <v>588</v>
      </c>
      <c r="CC5" s="215" t="s">
        <v>588</v>
      </c>
      <c r="CD5" s="217" t="str">
        <f t="shared" ref="CD5:CD31" si="27">IF(IF(OR(CB5=0,CB5="N/A"),"MISSING",CB5)=IF(OR(CC5=0,CC5="N/A"),"MISSING",CC5),"YES","MANUAL_ASSESS")</f>
        <v>YES</v>
      </c>
      <c r="CE5" s="218" t="s">
        <v>588</v>
      </c>
      <c r="CF5" s="215" t="s">
        <v>588</v>
      </c>
      <c r="CG5" s="217" t="str">
        <f t="shared" ref="CG5:CG31" si="28">IF(IF(OR(CE5=0,CE5="N/A"),"MISSING",CE5)=IF(OR(CF5=0,CF5="N/A"),"MISSING",CF5),"YES","MANUAL_ASSESS")</f>
        <v>YES</v>
      </c>
    </row>
    <row r="6" spans="1:85" ht="64" x14ac:dyDescent="0.2">
      <c r="A6" s="215" t="s">
        <v>544</v>
      </c>
      <c r="B6" s="214" t="s">
        <v>610</v>
      </c>
      <c r="C6" s="214" t="s">
        <v>591</v>
      </c>
      <c r="D6" s="217" t="s">
        <v>541</v>
      </c>
      <c r="E6" s="218">
        <v>0</v>
      </c>
      <c r="F6" s="215" t="s">
        <v>588</v>
      </c>
      <c r="G6" s="217" t="str">
        <f t="shared" si="3"/>
        <v>YES</v>
      </c>
      <c r="H6" s="218">
        <v>0</v>
      </c>
      <c r="I6" s="215" t="s">
        <v>588</v>
      </c>
      <c r="J6" s="217" t="str">
        <f t="shared" si="4"/>
        <v>YES</v>
      </c>
      <c r="K6" s="215" t="s">
        <v>590</v>
      </c>
      <c r="L6" s="215" t="s">
        <v>590</v>
      </c>
      <c r="M6" s="217" t="str">
        <f t="shared" si="5"/>
        <v>YES</v>
      </c>
      <c r="N6" s="218">
        <v>0</v>
      </c>
      <c r="O6" s="215" t="s">
        <v>588</v>
      </c>
      <c r="P6" s="217" t="str">
        <f t="shared" si="6"/>
        <v>YES</v>
      </c>
      <c r="Q6" s="214" t="s">
        <v>592</v>
      </c>
      <c r="R6" s="214" t="s">
        <v>592</v>
      </c>
      <c r="S6" s="217" t="str">
        <f t="shared" ref="S6:S29" si="29">IF(IF(OR(Q6=0,Q6="N/A"),"MISSING",Q6)=IF(OR(R6=0,R6="N/A"),"MISSING",R6),"YES","MANUAL_ASSESS")</f>
        <v>YES</v>
      </c>
      <c r="T6" s="218">
        <v>0</v>
      </c>
      <c r="U6" s="215" t="s">
        <v>588</v>
      </c>
      <c r="V6" s="217" t="str">
        <f t="shared" si="7"/>
        <v>YES</v>
      </c>
      <c r="W6" s="218">
        <v>0</v>
      </c>
      <c r="X6" s="215" t="s">
        <v>588</v>
      </c>
      <c r="Y6" s="217" t="str">
        <f t="shared" si="8"/>
        <v>YES</v>
      </c>
      <c r="Z6" s="218">
        <v>0</v>
      </c>
      <c r="AA6" s="215" t="s">
        <v>588</v>
      </c>
      <c r="AB6" s="217" t="str">
        <f t="shared" si="9"/>
        <v>YES</v>
      </c>
      <c r="AC6" s="218">
        <v>0</v>
      </c>
      <c r="AD6" s="215" t="s">
        <v>588</v>
      </c>
      <c r="AE6" s="217" t="str">
        <f t="shared" si="10"/>
        <v>YES</v>
      </c>
      <c r="AF6" s="218" t="s">
        <v>588</v>
      </c>
      <c r="AG6" s="215" t="s">
        <v>588</v>
      </c>
      <c r="AH6" s="217" t="str">
        <f t="shared" si="11"/>
        <v>YES</v>
      </c>
      <c r="AI6" s="218" t="s">
        <v>588</v>
      </c>
      <c r="AJ6" s="215" t="s">
        <v>588</v>
      </c>
      <c r="AK6" s="217" t="str">
        <f t="shared" si="12"/>
        <v>YES</v>
      </c>
      <c r="AL6" s="218">
        <v>0</v>
      </c>
      <c r="AM6" s="215" t="s">
        <v>588</v>
      </c>
      <c r="AN6" s="217" t="str">
        <f t="shared" si="13"/>
        <v>YES</v>
      </c>
      <c r="AO6" s="218">
        <v>0</v>
      </c>
      <c r="AP6" s="215" t="s">
        <v>588</v>
      </c>
      <c r="AQ6" s="217" t="str">
        <f t="shared" si="14"/>
        <v>YES</v>
      </c>
      <c r="AR6" s="218">
        <v>0</v>
      </c>
      <c r="AS6" s="215" t="s">
        <v>588</v>
      </c>
      <c r="AT6" s="217" t="str">
        <f t="shared" si="15"/>
        <v>YES</v>
      </c>
      <c r="AU6" s="218">
        <v>0</v>
      </c>
      <c r="AV6" s="215" t="s">
        <v>588</v>
      </c>
      <c r="AW6" s="217" t="str">
        <f t="shared" si="16"/>
        <v>YES</v>
      </c>
      <c r="AX6" s="218">
        <v>0</v>
      </c>
      <c r="AY6" s="215" t="s">
        <v>588</v>
      </c>
      <c r="AZ6" s="217" t="str">
        <f t="shared" si="17"/>
        <v>YES</v>
      </c>
      <c r="BA6" s="218">
        <v>0</v>
      </c>
      <c r="BB6" s="215" t="s">
        <v>588</v>
      </c>
      <c r="BC6" s="217" t="str">
        <f t="shared" si="18"/>
        <v>YES</v>
      </c>
      <c r="BD6" s="218">
        <v>0</v>
      </c>
      <c r="BE6" s="215" t="s">
        <v>588</v>
      </c>
      <c r="BF6" s="217" t="str">
        <f t="shared" si="19"/>
        <v>YES</v>
      </c>
      <c r="BG6" s="215" t="s">
        <v>588</v>
      </c>
      <c r="BH6" s="215" t="s">
        <v>588</v>
      </c>
      <c r="BI6" s="217" t="str">
        <f t="shared" si="20"/>
        <v>YES</v>
      </c>
      <c r="BJ6" s="218">
        <v>0</v>
      </c>
      <c r="BK6" s="215" t="s">
        <v>588</v>
      </c>
      <c r="BL6" s="217" t="str">
        <f t="shared" si="21"/>
        <v>YES</v>
      </c>
      <c r="BM6" s="218">
        <v>0</v>
      </c>
      <c r="BN6" s="215" t="s">
        <v>588</v>
      </c>
      <c r="BO6" s="217" t="str">
        <f t="shared" si="22"/>
        <v>YES</v>
      </c>
      <c r="BP6" s="218" t="s">
        <v>588</v>
      </c>
      <c r="BQ6" s="215" t="s">
        <v>588</v>
      </c>
      <c r="BR6" s="217" t="str">
        <f t="shared" si="23"/>
        <v>YES</v>
      </c>
      <c r="BS6" s="218" t="s">
        <v>588</v>
      </c>
      <c r="BT6" s="215" t="s">
        <v>588</v>
      </c>
      <c r="BU6" s="217" t="str">
        <f t="shared" si="24"/>
        <v>YES</v>
      </c>
      <c r="BV6" s="218" t="s">
        <v>588</v>
      </c>
      <c r="BW6" s="215" t="s">
        <v>588</v>
      </c>
      <c r="BX6" s="217" t="str">
        <f t="shared" si="25"/>
        <v>YES</v>
      </c>
      <c r="BY6" s="218" t="s">
        <v>588</v>
      </c>
      <c r="BZ6" s="215" t="s">
        <v>588</v>
      </c>
      <c r="CA6" s="217" t="str">
        <f t="shared" si="26"/>
        <v>YES</v>
      </c>
      <c r="CB6" s="218" t="s">
        <v>588</v>
      </c>
      <c r="CC6" s="215" t="s">
        <v>588</v>
      </c>
      <c r="CD6" s="217" t="str">
        <f t="shared" si="27"/>
        <v>YES</v>
      </c>
      <c r="CE6" s="218" t="s">
        <v>588</v>
      </c>
      <c r="CF6" s="215" t="s">
        <v>588</v>
      </c>
      <c r="CG6" s="217" t="str">
        <f t="shared" si="28"/>
        <v>YES</v>
      </c>
    </row>
    <row r="7" spans="1:85" ht="64" x14ac:dyDescent="0.2">
      <c r="A7" s="215" t="s">
        <v>545</v>
      </c>
      <c r="B7" s="215" t="s">
        <v>588</v>
      </c>
      <c r="C7" s="214" t="s">
        <v>588</v>
      </c>
      <c r="D7" s="217" t="str">
        <f t="shared" si="2"/>
        <v>YES</v>
      </c>
      <c r="E7" s="218">
        <v>0</v>
      </c>
      <c r="F7" s="215" t="s">
        <v>588</v>
      </c>
      <c r="G7" s="217" t="str">
        <f t="shared" si="3"/>
        <v>YES</v>
      </c>
      <c r="H7" s="218">
        <v>0</v>
      </c>
      <c r="I7" s="215" t="s">
        <v>588</v>
      </c>
      <c r="J7" s="217" t="str">
        <f t="shared" si="4"/>
        <v>YES</v>
      </c>
      <c r="K7" s="219">
        <v>0</v>
      </c>
      <c r="L7" s="215" t="s">
        <v>588</v>
      </c>
      <c r="M7" s="217" t="str">
        <f t="shared" si="5"/>
        <v>YES</v>
      </c>
      <c r="N7" s="218">
        <v>0</v>
      </c>
      <c r="O7" s="215" t="s">
        <v>588</v>
      </c>
      <c r="P7" s="217" t="str">
        <f t="shared" si="6"/>
        <v>YES</v>
      </c>
      <c r="Q7" s="219" t="s">
        <v>546</v>
      </c>
      <c r="R7" s="214" t="s">
        <v>546</v>
      </c>
      <c r="S7" s="217" t="str">
        <f t="shared" si="29"/>
        <v>YES</v>
      </c>
      <c r="T7" s="218">
        <v>0</v>
      </c>
      <c r="U7" s="215" t="s">
        <v>588</v>
      </c>
      <c r="V7" s="217" t="str">
        <f t="shared" si="7"/>
        <v>YES</v>
      </c>
      <c r="W7" s="218">
        <v>0</v>
      </c>
      <c r="X7" s="215" t="s">
        <v>588</v>
      </c>
      <c r="Y7" s="217" t="str">
        <f t="shared" si="8"/>
        <v>YES</v>
      </c>
      <c r="Z7" s="218">
        <v>0</v>
      </c>
      <c r="AA7" s="215" t="s">
        <v>588</v>
      </c>
      <c r="AB7" s="217" t="str">
        <f t="shared" si="9"/>
        <v>YES</v>
      </c>
      <c r="AC7" s="218">
        <v>0</v>
      </c>
      <c r="AD7" s="215" t="s">
        <v>588</v>
      </c>
      <c r="AE7" s="217" t="str">
        <f t="shared" si="10"/>
        <v>YES</v>
      </c>
      <c r="AF7" s="218" t="s">
        <v>588</v>
      </c>
      <c r="AG7" s="215" t="s">
        <v>588</v>
      </c>
      <c r="AH7" s="217" t="str">
        <f t="shared" si="11"/>
        <v>YES</v>
      </c>
      <c r="AI7" s="218" t="s">
        <v>588</v>
      </c>
      <c r="AJ7" s="215" t="s">
        <v>588</v>
      </c>
      <c r="AK7" s="217" t="str">
        <f t="shared" si="12"/>
        <v>YES</v>
      </c>
      <c r="AL7" s="218">
        <v>0</v>
      </c>
      <c r="AM7" s="215" t="s">
        <v>588</v>
      </c>
      <c r="AN7" s="217" t="str">
        <f t="shared" si="13"/>
        <v>YES</v>
      </c>
      <c r="AO7" s="218">
        <v>0</v>
      </c>
      <c r="AP7" s="215" t="s">
        <v>588</v>
      </c>
      <c r="AQ7" s="217" t="str">
        <f t="shared" si="14"/>
        <v>YES</v>
      </c>
      <c r="AR7" s="218">
        <v>0</v>
      </c>
      <c r="AS7" s="215" t="s">
        <v>588</v>
      </c>
      <c r="AT7" s="217" t="str">
        <f t="shared" si="15"/>
        <v>YES</v>
      </c>
      <c r="AU7" s="218">
        <v>0</v>
      </c>
      <c r="AV7" s="215" t="s">
        <v>588</v>
      </c>
      <c r="AW7" s="217" t="str">
        <f t="shared" si="16"/>
        <v>YES</v>
      </c>
      <c r="AX7" s="218">
        <v>0</v>
      </c>
      <c r="AY7" s="215" t="s">
        <v>588</v>
      </c>
      <c r="AZ7" s="217" t="str">
        <f t="shared" si="17"/>
        <v>YES</v>
      </c>
      <c r="BA7" s="218">
        <v>0</v>
      </c>
      <c r="BB7" s="215" t="s">
        <v>588</v>
      </c>
      <c r="BC7" s="217" t="str">
        <f t="shared" si="18"/>
        <v>YES</v>
      </c>
      <c r="BD7" s="218">
        <v>0</v>
      </c>
      <c r="BE7" s="215" t="s">
        <v>588</v>
      </c>
      <c r="BF7" s="217" t="str">
        <f t="shared" si="19"/>
        <v>YES</v>
      </c>
      <c r="BG7" s="215" t="s">
        <v>588</v>
      </c>
      <c r="BH7" s="215" t="s">
        <v>588</v>
      </c>
      <c r="BI7" s="217" t="str">
        <f t="shared" si="20"/>
        <v>YES</v>
      </c>
      <c r="BJ7" s="218">
        <v>0</v>
      </c>
      <c r="BK7" s="215" t="s">
        <v>588</v>
      </c>
      <c r="BL7" s="217" t="str">
        <f t="shared" si="21"/>
        <v>YES</v>
      </c>
      <c r="BM7" s="218">
        <v>0</v>
      </c>
      <c r="BN7" s="215" t="s">
        <v>588</v>
      </c>
      <c r="BO7" s="217" t="str">
        <f t="shared" si="22"/>
        <v>YES</v>
      </c>
      <c r="BP7" s="218" t="s">
        <v>588</v>
      </c>
      <c r="BQ7" s="215" t="s">
        <v>588</v>
      </c>
      <c r="BR7" s="217" t="str">
        <f t="shared" si="23"/>
        <v>YES</v>
      </c>
      <c r="BS7" s="218" t="s">
        <v>588</v>
      </c>
      <c r="BT7" s="215" t="s">
        <v>588</v>
      </c>
      <c r="BU7" s="217" t="str">
        <f t="shared" si="24"/>
        <v>YES</v>
      </c>
      <c r="BV7" s="218" t="s">
        <v>588</v>
      </c>
      <c r="BW7" s="215" t="s">
        <v>588</v>
      </c>
      <c r="BX7" s="217" t="str">
        <f t="shared" si="25"/>
        <v>YES</v>
      </c>
      <c r="BY7" s="218" t="s">
        <v>588</v>
      </c>
      <c r="BZ7" s="215" t="s">
        <v>588</v>
      </c>
      <c r="CA7" s="217" t="str">
        <f t="shared" si="26"/>
        <v>YES</v>
      </c>
      <c r="CB7" s="218" t="s">
        <v>588</v>
      </c>
      <c r="CC7" s="215" t="s">
        <v>588</v>
      </c>
      <c r="CD7" s="217" t="str">
        <f t="shared" si="27"/>
        <v>YES</v>
      </c>
      <c r="CE7" s="218" t="s">
        <v>588</v>
      </c>
      <c r="CF7" s="215" t="s">
        <v>588</v>
      </c>
      <c r="CG7" s="217" t="str">
        <f t="shared" si="28"/>
        <v>YES</v>
      </c>
    </row>
    <row r="8" spans="1:85" ht="64" x14ac:dyDescent="0.2">
      <c r="A8" s="215" t="s">
        <v>547</v>
      </c>
      <c r="B8" s="215" t="s">
        <v>588</v>
      </c>
      <c r="C8" s="214" t="s">
        <v>588</v>
      </c>
      <c r="D8" s="217" t="str">
        <f t="shared" si="2"/>
        <v>YES</v>
      </c>
      <c r="E8" s="218">
        <v>0</v>
      </c>
      <c r="F8" s="215" t="s">
        <v>588</v>
      </c>
      <c r="G8" s="217" t="str">
        <f t="shared" si="3"/>
        <v>YES</v>
      </c>
      <c r="H8" s="218">
        <v>0</v>
      </c>
      <c r="I8" s="215" t="s">
        <v>588</v>
      </c>
      <c r="J8" s="217" t="str">
        <f t="shared" si="4"/>
        <v>YES</v>
      </c>
      <c r="K8" s="219">
        <v>0</v>
      </c>
      <c r="L8" s="215" t="s">
        <v>588</v>
      </c>
      <c r="M8" s="217" t="str">
        <f t="shared" si="5"/>
        <v>YES</v>
      </c>
      <c r="N8" s="218">
        <v>0</v>
      </c>
      <c r="O8" s="215" t="s">
        <v>588</v>
      </c>
      <c r="P8" s="217" t="str">
        <f t="shared" si="6"/>
        <v>YES</v>
      </c>
      <c r="Q8" s="219" t="s">
        <v>546</v>
      </c>
      <c r="R8" s="214" t="s">
        <v>611</v>
      </c>
      <c r="S8" s="217" t="s">
        <v>541</v>
      </c>
      <c r="T8" s="218">
        <v>0</v>
      </c>
      <c r="U8" s="215" t="s">
        <v>588</v>
      </c>
      <c r="V8" s="217" t="str">
        <f t="shared" si="7"/>
        <v>YES</v>
      </c>
      <c r="W8" s="218">
        <v>0</v>
      </c>
      <c r="X8" s="215" t="s">
        <v>588</v>
      </c>
      <c r="Y8" s="217" t="str">
        <f t="shared" si="8"/>
        <v>YES</v>
      </c>
      <c r="Z8" s="218">
        <v>0</v>
      </c>
      <c r="AA8" s="215" t="s">
        <v>588</v>
      </c>
      <c r="AB8" s="217" t="str">
        <f t="shared" si="9"/>
        <v>YES</v>
      </c>
      <c r="AC8" s="218">
        <v>0</v>
      </c>
      <c r="AD8" s="215" t="s">
        <v>588</v>
      </c>
      <c r="AE8" s="217" t="str">
        <f t="shared" si="10"/>
        <v>YES</v>
      </c>
      <c r="AF8" s="218" t="s">
        <v>588</v>
      </c>
      <c r="AG8" s="215" t="s">
        <v>588</v>
      </c>
      <c r="AH8" s="217" t="str">
        <f t="shared" si="11"/>
        <v>YES</v>
      </c>
      <c r="AI8" s="218" t="s">
        <v>588</v>
      </c>
      <c r="AJ8" s="215" t="s">
        <v>588</v>
      </c>
      <c r="AK8" s="217" t="str">
        <f t="shared" si="12"/>
        <v>YES</v>
      </c>
      <c r="AL8" s="218">
        <v>0</v>
      </c>
      <c r="AM8" s="215" t="s">
        <v>588</v>
      </c>
      <c r="AN8" s="217" t="str">
        <f t="shared" si="13"/>
        <v>YES</v>
      </c>
      <c r="AO8" s="218">
        <v>0</v>
      </c>
      <c r="AP8" s="215" t="s">
        <v>588</v>
      </c>
      <c r="AQ8" s="217" t="str">
        <f t="shared" si="14"/>
        <v>YES</v>
      </c>
      <c r="AR8" s="218">
        <v>0</v>
      </c>
      <c r="AS8" s="215" t="s">
        <v>588</v>
      </c>
      <c r="AT8" s="217" t="str">
        <f t="shared" si="15"/>
        <v>YES</v>
      </c>
      <c r="AU8" s="218">
        <v>0</v>
      </c>
      <c r="AV8" s="215" t="s">
        <v>588</v>
      </c>
      <c r="AW8" s="217" t="str">
        <f t="shared" si="16"/>
        <v>YES</v>
      </c>
      <c r="AX8" s="218">
        <v>0</v>
      </c>
      <c r="AY8" s="215" t="s">
        <v>588</v>
      </c>
      <c r="AZ8" s="217" t="str">
        <f t="shared" si="17"/>
        <v>YES</v>
      </c>
      <c r="BA8" s="218">
        <v>0</v>
      </c>
      <c r="BB8" s="215" t="s">
        <v>588</v>
      </c>
      <c r="BC8" s="217" t="str">
        <f t="shared" si="18"/>
        <v>YES</v>
      </c>
      <c r="BD8" s="218">
        <v>0</v>
      </c>
      <c r="BE8" s="215" t="s">
        <v>588</v>
      </c>
      <c r="BF8" s="217" t="str">
        <f t="shared" si="19"/>
        <v>YES</v>
      </c>
      <c r="BG8" s="215" t="s">
        <v>588</v>
      </c>
      <c r="BH8" s="215" t="s">
        <v>588</v>
      </c>
      <c r="BI8" s="217" t="str">
        <f t="shared" si="20"/>
        <v>YES</v>
      </c>
      <c r="BJ8" s="218">
        <v>0</v>
      </c>
      <c r="BK8" s="215" t="s">
        <v>588</v>
      </c>
      <c r="BL8" s="217" t="str">
        <f t="shared" si="21"/>
        <v>YES</v>
      </c>
      <c r="BM8" s="218">
        <v>0</v>
      </c>
      <c r="BN8" s="215" t="s">
        <v>588</v>
      </c>
      <c r="BO8" s="217" t="str">
        <f t="shared" si="22"/>
        <v>YES</v>
      </c>
      <c r="BP8" s="218" t="s">
        <v>588</v>
      </c>
      <c r="BQ8" s="215" t="s">
        <v>588</v>
      </c>
      <c r="BR8" s="217" t="str">
        <f t="shared" si="23"/>
        <v>YES</v>
      </c>
      <c r="BS8" s="218" t="s">
        <v>588</v>
      </c>
      <c r="BT8" s="215" t="s">
        <v>588</v>
      </c>
      <c r="BU8" s="217" t="str">
        <f t="shared" si="24"/>
        <v>YES</v>
      </c>
      <c r="BV8" s="218" t="s">
        <v>588</v>
      </c>
      <c r="BW8" s="215" t="s">
        <v>588</v>
      </c>
      <c r="BX8" s="217" t="str">
        <f t="shared" si="25"/>
        <v>YES</v>
      </c>
      <c r="BY8" s="218" t="s">
        <v>588</v>
      </c>
      <c r="BZ8" s="215" t="s">
        <v>588</v>
      </c>
      <c r="CA8" s="217" t="str">
        <f t="shared" si="26"/>
        <v>YES</v>
      </c>
      <c r="CB8" s="218" t="s">
        <v>588</v>
      </c>
      <c r="CC8" s="215" t="s">
        <v>588</v>
      </c>
      <c r="CD8" s="217" t="str">
        <f t="shared" si="27"/>
        <v>YES</v>
      </c>
      <c r="CE8" s="218" t="s">
        <v>588</v>
      </c>
      <c r="CF8" s="215" t="s">
        <v>588</v>
      </c>
      <c r="CG8" s="217" t="str">
        <f t="shared" si="28"/>
        <v>YES</v>
      </c>
    </row>
    <row r="9" spans="1:85" ht="80" x14ac:dyDescent="0.2">
      <c r="A9" s="215" t="s">
        <v>548</v>
      </c>
      <c r="B9" s="215" t="s">
        <v>588</v>
      </c>
      <c r="C9" s="214" t="s">
        <v>588</v>
      </c>
      <c r="D9" s="217" t="str">
        <f t="shared" si="2"/>
        <v>YES</v>
      </c>
      <c r="E9" s="218">
        <v>0</v>
      </c>
      <c r="F9" s="215" t="s">
        <v>588</v>
      </c>
      <c r="G9" s="217" t="str">
        <f t="shared" si="3"/>
        <v>YES</v>
      </c>
      <c r="H9" s="218">
        <v>0</v>
      </c>
      <c r="I9" s="215" t="s">
        <v>588</v>
      </c>
      <c r="J9" s="217" t="str">
        <f t="shared" si="4"/>
        <v>YES</v>
      </c>
      <c r="K9" s="219">
        <v>0</v>
      </c>
      <c r="L9" s="215" t="s">
        <v>588</v>
      </c>
      <c r="M9" s="217" t="str">
        <f t="shared" si="5"/>
        <v>YES</v>
      </c>
      <c r="N9" s="218">
        <v>0</v>
      </c>
      <c r="O9" s="215" t="s">
        <v>588</v>
      </c>
      <c r="P9" s="217" t="str">
        <f t="shared" si="6"/>
        <v>YES</v>
      </c>
      <c r="Q9" s="214" t="s">
        <v>593</v>
      </c>
      <c r="R9" s="214" t="s">
        <v>593</v>
      </c>
      <c r="S9" s="217" t="str">
        <f t="shared" si="29"/>
        <v>YES</v>
      </c>
      <c r="T9" s="218">
        <v>0</v>
      </c>
      <c r="U9" s="215" t="s">
        <v>588</v>
      </c>
      <c r="V9" s="217" t="str">
        <f t="shared" si="7"/>
        <v>YES</v>
      </c>
      <c r="W9" s="218">
        <v>0</v>
      </c>
      <c r="X9" s="215" t="s">
        <v>588</v>
      </c>
      <c r="Y9" s="217" t="str">
        <f t="shared" si="8"/>
        <v>YES</v>
      </c>
      <c r="Z9" s="218">
        <v>0</v>
      </c>
      <c r="AA9" s="215" t="s">
        <v>588</v>
      </c>
      <c r="AB9" s="217" t="str">
        <f t="shared" si="9"/>
        <v>YES</v>
      </c>
      <c r="AC9" s="218">
        <v>0</v>
      </c>
      <c r="AD9" s="215" t="s">
        <v>588</v>
      </c>
      <c r="AE9" s="217" t="str">
        <f t="shared" si="10"/>
        <v>YES</v>
      </c>
      <c r="AF9" s="218" t="s">
        <v>588</v>
      </c>
      <c r="AG9" s="215" t="s">
        <v>588</v>
      </c>
      <c r="AH9" s="217" t="str">
        <f t="shared" si="11"/>
        <v>YES</v>
      </c>
      <c r="AI9" s="218" t="s">
        <v>588</v>
      </c>
      <c r="AJ9" s="215" t="s">
        <v>588</v>
      </c>
      <c r="AK9" s="217" t="str">
        <f t="shared" si="12"/>
        <v>YES</v>
      </c>
      <c r="AL9" s="218">
        <v>0</v>
      </c>
      <c r="AM9" s="215" t="s">
        <v>588</v>
      </c>
      <c r="AN9" s="217" t="str">
        <f t="shared" si="13"/>
        <v>YES</v>
      </c>
      <c r="AO9" s="218">
        <v>0</v>
      </c>
      <c r="AP9" s="215" t="s">
        <v>588</v>
      </c>
      <c r="AQ9" s="217" t="str">
        <f t="shared" si="14"/>
        <v>YES</v>
      </c>
      <c r="AR9" s="218">
        <v>0</v>
      </c>
      <c r="AS9" s="215" t="s">
        <v>588</v>
      </c>
      <c r="AT9" s="217" t="str">
        <f t="shared" si="15"/>
        <v>YES</v>
      </c>
      <c r="AU9" s="218">
        <v>0</v>
      </c>
      <c r="AV9" s="215" t="s">
        <v>588</v>
      </c>
      <c r="AW9" s="217" t="str">
        <f t="shared" si="16"/>
        <v>YES</v>
      </c>
      <c r="AX9" s="218">
        <v>0</v>
      </c>
      <c r="AY9" s="215" t="s">
        <v>588</v>
      </c>
      <c r="AZ9" s="217" t="str">
        <f t="shared" si="17"/>
        <v>YES</v>
      </c>
      <c r="BA9" s="218">
        <v>0</v>
      </c>
      <c r="BB9" s="215" t="s">
        <v>588</v>
      </c>
      <c r="BC9" s="217" t="str">
        <f t="shared" si="18"/>
        <v>YES</v>
      </c>
      <c r="BD9" s="218">
        <v>0</v>
      </c>
      <c r="BE9" s="215" t="s">
        <v>588</v>
      </c>
      <c r="BF9" s="217" t="str">
        <f t="shared" si="19"/>
        <v>YES</v>
      </c>
      <c r="BG9" s="215" t="s">
        <v>588</v>
      </c>
      <c r="BH9" s="215" t="s">
        <v>588</v>
      </c>
      <c r="BI9" s="217" t="str">
        <f t="shared" si="20"/>
        <v>YES</v>
      </c>
      <c r="BJ9" s="218">
        <v>0</v>
      </c>
      <c r="BK9" s="215" t="s">
        <v>588</v>
      </c>
      <c r="BL9" s="217" t="str">
        <f t="shared" si="21"/>
        <v>YES</v>
      </c>
      <c r="BM9" s="218">
        <v>0</v>
      </c>
      <c r="BN9" s="215" t="s">
        <v>588</v>
      </c>
      <c r="BO9" s="217" t="str">
        <f t="shared" si="22"/>
        <v>YES</v>
      </c>
      <c r="BP9" s="218" t="s">
        <v>588</v>
      </c>
      <c r="BQ9" s="215" t="s">
        <v>588</v>
      </c>
      <c r="BR9" s="217" t="str">
        <f t="shared" si="23"/>
        <v>YES</v>
      </c>
      <c r="BS9" s="218" t="s">
        <v>588</v>
      </c>
      <c r="BT9" s="215" t="s">
        <v>588</v>
      </c>
      <c r="BU9" s="217" t="str">
        <f t="shared" si="24"/>
        <v>YES</v>
      </c>
      <c r="BV9" s="218" t="s">
        <v>588</v>
      </c>
      <c r="BW9" s="215" t="s">
        <v>588</v>
      </c>
      <c r="BX9" s="217" t="str">
        <f t="shared" si="25"/>
        <v>YES</v>
      </c>
      <c r="BY9" s="218" t="s">
        <v>588</v>
      </c>
      <c r="BZ9" s="215" t="s">
        <v>588</v>
      </c>
      <c r="CA9" s="217" t="str">
        <f t="shared" si="26"/>
        <v>YES</v>
      </c>
      <c r="CB9" s="218" t="s">
        <v>588</v>
      </c>
      <c r="CC9" s="215" t="s">
        <v>588</v>
      </c>
      <c r="CD9" s="217" t="str">
        <f t="shared" si="27"/>
        <v>YES</v>
      </c>
      <c r="CE9" s="218" t="s">
        <v>588</v>
      </c>
      <c r="CF9" s="215" t="s">
        <v>588</v>
      </c>
      <c r="CG9" s="217" t="str">
        <f t="shared" si="28"/>
        <v>YES</v>
      </c>
    </row>
    <row r="10" spans="1:85" ht="96" x14ac:dyDescent="0.2">
      <c r="A10" s="215" t="s">
        <v>550</v>
      </c>
      <c r="B10" s="215" t="s">
        <v>588</v>
      </c>
      <c r="C10" s="214" t="s">
        <v>588</v>
      </c>
      <c r="D10" s="217" t="str">
        <f t="shared" si="2"/>
        <v>YES</v>
      </c>
      <c r="E10" s="218">
        <v>0</v>
      </c>
      <c r="F10" s="215" t="s">
        <v>588</v>
      </c>
      <c r="G10" s="217" t="str">
        <f t="shared" si="3"/>
        <v>YES</v>
      </c>
      <c r="H10" s="218">
        <v>0</v>
      </c>
      <c r="I10" s="215" t="s">
        <v>588</v>
      </c>
      <c r="J10" s="217" t="str">
        <f t="shared" si="4"/>
        <v>YES</v>
      </c>
      <c r="K10" s="219">
        <v>0</v>
      </c>
      <c r="L10" s="215" t="s">
        <v>588</v>
      </c>
      <c r="M10" s="217" t="str">
        <f t="shared" si="5"/>
        <v>YES</v>
      </c>
      <c r="N10" s="218">
        <v>0</v>
      </c>
      <c r="O10" s="215" t="s">
        <v>588</v>
      </c>
      <c r="P10" s="217" t="str">
        <f t="shared" si="6"/>
        <v>YES</v>
      </c>
      <c r="Q10" s="219" t="s">
        <v>551</v>
      </c>
      <c r="R10" s="214" t="s">
        <v>593</v>
      </c>
      <c r="S10" s="217" t="s">
        <v>541</v>
      </c>
      <c r="T10" s="218">
        <v>0</v>
      </c>
      <c r="U10" s="215" t="s">
        <v>588</v>
      </c>
      <c r="V10" s="217" t="str">
        <f t="shared" si="7"/>
        <v>YES</v>
      </c>
      <c r="W10" s="218">
        <v>0</v>
      </c>
      <c r="X10" s="215" t="s">
        <v>588</v>
      </c>
      <c r="Y10" s="217" t="str">
        <f t="shared" si="8"/>
        <v>YES</v>
      </c>
      <c r="Z10" s="218">
        <v>0</v>
      </c>
      <c r="AA10" s="215" t="s">
        <v>588</v>
      </c>
      <c r="AB10" s="217" t="str">
        <f t="shared" si="9"/>
        <v>YES</v>
      </c>
      <c r="AC10" s="218">
        <v>0</v>
      </c>
      <c r="AD10" s="215" t="s">
        <v>588</v>
      </c>
      <c r="AE10" s="217" t="str">
        <f t="shared" si="10"/>
        <v>YES</v>
      </c>
      <c r="AF10" s="218" t="s">
        <v>588</v>
      </c>
      <c r="AG10" s="215" t="s">
        <v>588</v>
      </c>
      <c r="AH10" s="217" t="str">
        <f t="shared" si="11"/>
        <v>YES</v>
      </c>
      <c r="AI10" s="218" t="s">
        <v>588</v>
      </c>
      <c r="AJ10" s="215" t="s">
        <v>588</v>
      </c>
      <c r="AK10" s="217" t="str">
        <f t="shared" si="12"/>
        <v>YES</v>
      </c>
      <c r="AL10" s="218">
        <v>0</v>
      </c>
      <c r="AM10" s="215" t="s">
        <v>588</v>
      </c>
      <c r="AN10" s="217" t="str">
        <f t="shared" si="13"/>
        <v>YES</v>
      </c>
      <c r="AO10" s="218">
        <v>0</v>
      </c>
      <c r="AP10" s="215" t="s">
        <v>588</v>
      </c>
      <c r="AQ10" s="217" t="str">
        <f t="shared" si="14"/>
        <v>YES</v>
      </c>
      <c r="AR10" s="218">
        <v>0</v>
      </c>
      <c r="AS10" s="215" t="s">
        <v>588</v>
      </c>
      <c r="AT10" s="217" t="str">
        <f t="shared" si="15"/>
        <v>YES</v>
      </c>
      <c r="AU10" s="218">
        <v>0</v>
      </c>
      <c r="AV10" s="215" t="s">
        <v>588</v>
      </c>
      <c r="AW10" s="217" t="str">
        <f t="shared" si="16"/>
        <v>YES</v>
      </c>
      <c r="AX10" s="218">
        <v>0</v>
      </c>
      <c r="AY10" s="215" t="s">
        <v>588</v>
      </c>
      <c r="AZ10" s="217" t="str">
        <f t="shared" si="17"/>
        <v>YES</v>
      </c>
      <c r="BA10" s="218">
        <v>0</v>
      </c>
      <c r="BB10" s="215" t="s">
        <v>588</v>
      </c>
      <c r="BC10" s="217" t="str">
        <f t="shared" si="18"/>
        <v>YES</v>
      </c>
      <c r="BD10" s="218">
        <v>0</v>
      </c>
      <c r="BE10" s="215" t="s">
        <v>588</v>
      </c>
      <c r="BF10" s="217" t="str">
        <f t="shared" si="19"/>
        <v>YES</v>
      </c>
      <c r="BG10" s="215" t="s">
        <v>588</v>
      </c>
      <c r="BH10" s="215" t="s">
        <v>588</v>
      </c>
      <c r="BI10" s="217" t="str">
        <f t="shared" si="20"/>
        <v>YES</v>
      </c>
      <c r="BJ10" s="218">
        <v>0</v>
      </c>
      <c r="BK10" s="215" t="s">
        <v>588</v>
      </c>
      <c r="BL10" s="217" t="str">
        <f t="shared" si="21"/>
        <v>YES</v>
      </c>
      <c r="BM10" s="218">
        <v>0</v>
      </c>
      <c r="BN10" s="215" t="s">
        <v>588</v>
      </c>
      <c r="BO10" s="217" t="str">
        <f t="shared" si="22"/>
        <v>YES</v>
      </c>
      <c r="BP10" s="218" t="s">
        <v>588</v>
      </c>
      <c r="BQ10" s="215" t="s">
        <v>588</v>
      </c>
      <c r="BR10" s="217" t="str">
        <f t="shared" si="23"/>
        <v>YES</v>
      </c>
      <c r="BS10" s="218" t="s">
        <v>588</v>
      </c>
      <c r="BT10" s="215" t="s">
        <v>588</v>
      </c>
      <c r="BU10" s="217" t="str">
        <f t="shared" si="24"/>
        <v>YES</v>
      </c>
      <c r="BV10" s="218" t="s">
        <v>588</v>
      </c>
      <c r="BW10" s="215" t="s">
        <v>588</v>
      </c>
      <c r="BX10" s="217" t="str">
        <f t="shared" si="25"/>
        <v>YES</v>
      </c>
      <c r="BY10" s="218" t="s">
        <v>588</v>
      </c>
      <c r="BZ10" s="215" t="s">
        <v>588</v>
      </c>
      <c r="CA10" s="217" t="str">
        <f t="shared" si="26"/>
        <v>YES</v>
      </c>
      <c r="CB10" s="218" t="s">
        <v>588</v>
      </c>
      <c r="CC10" s="215" t="s">
        <v>588</v>
      </c>
      <c r="CD10" s="217" t="str">
        <f t="shared" si="27"/>
        <v>YES</v>
      </c>
      <c r="CE10" s="218" t="s">
        <v>588</v>
      </c>
      <c r="CF10" s="215" t="s">
        <v>588</v>
      </c>
      <c r="CG10" s="217" t="str">
        <f t="shared" si="28"/>
        <v>YES</v>
      </c>
    </row>
    <row r="11" spans="1:85" ht="80" x14ac:dyDescent="0.2">
      <c r="A11" s="215" t="s">
        <v>552</v>
      </c>
      <c r="B11" s="215" t="s">
        <v>588</v>
      </c>
      <c r="C11" s="214" t="s">
        <v>588</v>
      </c>
      <c r="D11" s="217" t="str">
        <f t="shared" si="2"/>
        <v>YES</v>
      </c>
      <c r="E11" s="218">
        <v>0</v>
      </c>
      <c r="F11" s="215" t="s">
        <v>588</v>
      </c>
      <c r="G11" s="217" t="str">
        <f t="shared" si="3"/>
        <v>YES</v>
      </c>
      <c r="H11" s="218">
        <v>0</v>
      </c>
      <c r="I11" s="215" t="s">
        <v>588</v>
      </c>
      <c r="J11" s="217" t="str">
        <f t="shared" si="4"/>
        <v>YES</v>
      </c>
      <c r="K11" s="219">
        <v>0</v>
      </c>
      <c r="L11" s="215" t="s">
        <v>588</v>
      </c>
      <c r="M11" s="217" t="str">
        <f t="shared" si="5"/>
        <v>YES</v>
      </c>
      <c r="N11" s="218">
        <v>0</v>
      </c>
      <c r="O11" s="215" t="s">
        <v>588</v>
      </c>
      <c r="P11" s="217" t="str">
        <f t="shared" si="6"/>
        <v>YES</v>
      </c>
      <c r="Q11" s="214" t="s">
        <v>593</v>
      </c>
      <c r="R11" s="214" t="s">
        <v>593</v>
      </c>
      <c r="S11" s="217" t="str">
        <f t="shared" si="29"/>
        <v>YES</v>
      </c>
      <c r="T11" s="218">
        <v>0</v>
      </c>
      <c r="U11" s="215" t="s">
        <v>588</v>
      </c>
      <c r="V11" s="217" t="str">
        <f t="shared" si="7"/>
        <v>YES</v>
      </c>
      <c r="W11" s="218">
        <v>0</v>
      </c>
      <c r="X11" s="215" t="s">
        <v>588</v>
      </c>
      <c r="Y11" s="217" t="str">
        <f t="shared" si="8"/>
        <v>YES</v>
      </c>
      <c r="Z11" s="218">
        <v>0</v>
      </c>
      <c r="AA11" s="215" t="s">
        <v>588</v>
      </c>
      <c r="AB11" s="217" t="str">
        <f t="shared" si="9"/>
        <v>YES</v>
      </c>
      <c r="AC11" s="218">
        <v>0</v>
      </c>
      <c r="AD11" s="215" t="s">
        <v>588</v>
      </c>
      <c r="AE11" s="217" t="str">
        <f t="shared" si="10"/>
        <v>YES</v>
      </c>
      <c r="AF11" s="218" t="s">
        <v>588</v>
      </c>
      <c r="AG11" s="215" t="s">
        <v>588</v>
      </c>
      <c r="AH11" s="217" t="str">
        <f t="shared" si="11"/>
        <v>YES</v>
      </c>
      <c r="AI11" s="218" t="s">
        <v>588</v>
      </c>
      <c r="AJ11" s="215" t="s">
        <v>588</v>
      </c>
      <c r="AK11" s="217" t="str">
        <f t="shared" si="12"/>
        <v>YES</v>
      </c>
      <c r="AL11" s="218">
        <v>0</v>
      </c>
      <c r="AM11" s="215" t="s">
        <v>588</v>
      </c>
      <c r="AN11" s="217" t="str">
        <f t="shared" si="13"/>
        <v>YES</v>
      </c>
      <c r="AO11" s="218">
        <v>0</v>
      </c>
      <c r="AP11" s="215" t="s">
        <v>588</v>
      </c>
      <c r="AQ11" s="217" t="str">
        <f t="shared" si="14"/>
        <v>YES</v>
      </c>
      <c r="AR11" s="218">
        <v>0</v>
      </c>
      <c r="AS11" s="215" t="s">
        <v>588</v>
      </c>
      <c r="AT11" s="217" t="str">
        <f t="shared" si="15"/>
        <v>YES</v>
      </c>
      <c r="AU11" s="218">
        <v>0</v>
      </c>
      <c r="AV11" s="215" t="s">
        <v>588</v>
      </c>
      <c r="AW11" s="217" t="str">
        <f t="shared" si="16"/>
        <v>YES</v>
      </c>
      <c r="AX11" s="218">
        <v>0</v>
      </c>
      <c r="AY11" s="215" t="s">
        <v>588</v>
      </c>
      <c r="AZ11" s="217" t="str">
        <f t="shared" si="17"/>
        <v>YES</v>
      </c>
      <c r="BA11" s="218">
        <v>0</v>
      </c>
      <c r="BB11" s="215" t="s">
        <v>588</v>
      </c>
      <c r="BC11" s="217" t="str">
        <f t="shared" si="18"/>
        <v>YES</v>
      </c>
      <c r="BD11" s="218">
        <v>0</v>
      </c>
      <c r="BE11" s="215" t="s">
        <v>588</v>
      </c>
      <c r="BF11" s="217" t="str">
        <f t="shared" si="19"/>
        <v>YES</v>
      </c>
      <c r="BG11" s="215" t="s">
        <v>588</v>
      </c>
      <c r="BH11" s="215" t="s">
        <v>588</v>
      </c>
      <c r="BI11" s="217" t="str">
        <f t="shared" si="20"/>
        <v>YES</v>
      </c>
      <c r="BJ11" s="218">
        <v>0</v>
      </c>
      <c r="BK11" s="215" t="s">
        <v>588</v>
      </c>
      <c r="BL11" s="217" t="str">
        <f t="shared" si="21"/>
        <v>YES</v>
      </c>
      <c r="BM11" s="218">
        <v>0</v>
      </c>
      <c r="BN11" s="215" t="s">
        <v>588</v>
      </c>
      <c r="BO11" s="217" t="str">
        <f t="shared" si="22"/>
        <v>YES</v>
      </c>
      <c r="BP11" s="218" t="s">
        <v>588</v>
      </c>
      <c r="BQ11" s="215" t="s">
        <v>588</v>
      </c>
      <c r="BR11" s="217" t="str">
        <f t="shared" si="23"/>
        <v>YES</v>
      </c>
      <c r="BS11" s="218" t="s">
        <v>588</v>
      </c>
      <c r="BT11" s="215" t="s">
        <v>588</v>
      </c>
      <c r="BU11" s="217" t="str">
        <f t="shared" si="24"/>
        <v>YES</v>
      </c>
      <c r="BV11" s="218" t="s">
        <v>588</v>
      </c>
      <c r="BW11" s="215" t="s">
        <v>588</v>
      </c>
      <c r="BX11" s="217" t="str">
        <f t="shared" si="25"/>
        <v>YES</v>
      </c>
      <c r="BY11" s="218" t="s">
        <v>588</v>
      </c>
      <c r="BZ11" s="215" t="s">
        <v>588</v>
      </c>
      <c r="CA11" s="217" t="str">
        <f t="shared" si="26"/>
        <v>YES</v>
      </c>
      <c r="CB11" s="218" t="s">
        <v>588</v>
      </c>
      <c r="CC11" s="215" t="s">
        <v>588</v>
      </c>
      <c r="CD11" s="217" t="str">
        <f t="shared" si="27"/>
        <v>YES</v>
      </c>
      <c r="CE11" s="218" t="s">
        <v>588</v>
      </c>
      <c r="CF11" s="215" t="s">
        <v>588</v>
      </c>
      <c r="CG11" s="217" t="str">
        <f t="shared" si="28"/>
        <v>YES</v>
      </c>
    </row>
    <row r="12" spans="1:85" ht="80" x14ac:dyDescent="0.2">
      <c r="A12" s="215" t="s">
        <v>553</v>
      </c>
      <c r="B12" s="215" t="s">
        <v>588</v>
      </c>
      <c r="C12" s="214" t="s">
        <v>588</v>
      </c>
      <c r="D12" s="217" t="str">
        <f t="shared" si="2"/>
        <v>YES</v>
      </c>
      <c r="E12" s="218">
        <v>0</v>
      </c>
      <c r="F12" s="215" t="s">
        <v>588</v>
      </c>
      <c r="G12" s="217" t="str">
        <f t="shared" si="3"/>
        <v>YES</v>
      </c>
      <c r="H12" s="218">
        <v>0</v>
      </c>
      <c r="I12" s="215" t="s">
        <v>588</v>
      </c>
      <c r="J12" s="217" t="str">
        <f t="shared" si="4"/>
        <v>YES</v>
      </c>
      <c r="K12" s="219">
        <v>0</v>
      </c>
      <c r="L12" s="215" t="s">
        <v>588</v>
      </c>
      <c r="M12" s="217" t="str">
        <f t="shared" si="5"/>
        <v>YES</v>
      </c>
      <c r="N12" s="218">
        <v>0</v>
      </c>
      <c r="O12" s="215" t="s">
        <v>588</v>
      </c>
      <c r="P12" s="217" t="str">
        <f t="shared" si="6"/>
        <v>YES</v>
      </c>
      <c r="Q12" s="219" t="s">
        <v>554</v>
      </c>
      <c r="R12" s="214" t="s">
        <v>594</v>
      </c>
      <c r="S12" s="217" t="s">
        <v>542</v>
      </c>
      <c r="T12" s="218">
        <v>0</v>
      </c>
      <c r="U12" s="215" t="s">
        <v>588</v>
      </c>
      <c r="V12" s="217" t="str">
        <f t="shared" si="7"/>
        <v>YES</v>
      </c>
      <c r="W12" s="218">
        <v>0</v>
      </c>
      <c r="X12" s="215" t="s">
        <v>588</v>
      </c>
      <c r="Y12" s="217" t="str">
        <f t="shared" si="8"/>
        <v>YES</v>
      </c>
      <c r="Z12" s="218">
        <v>0</v>
      </c>
      <c r="AA12" s="215" t="s">
        <v>588</v>
      </c>
      <c r="AB12" s="217" t="str">
        <f t="shared" si="9"/>
        <v>YES</v>
      </c>
      <c r="AC12" s="218">
        <v>0</v>
      </c>
      <c r="AD12" s="215" t="s">
        <v>588</v>
      </c>
      <c r="AE12" s="217" t="str">
        <f t="shared" si="10"/>
        <v>YES</v>
      </c>
      <c r="AF12" s="218" t="s">
        <v>588</v>
      </c>
      <c r="AG12" s="215" t="s">
        <v>588</v>
      </c>
      <c r="AH12" s="217" t="str">
        <f t="shared" si="11"/>
        <v>YES</v>
      </c>
      <c r="AI12" s="218" t="s">
        <v>588</v>
      </c>
      <c r="AJ12" s="215" t="s">
        <v>588</v>
      </c>
      <c r="AK12" s="217" t="str">
        <f t="shared" si="12"/>
        <v>YES</v>
      </c>
      <c r="AL12" s="218">
        <v>0</v>
      </c>
      <c r="AM12" s="215" t="s">
        <v>588</v>
      </c>
      <c r="AN12" s="217" t="str">
        <f t="shared" si="13"/>
        <v>YES</v>
      </c>
      <c r="AO12" s="218">
        <v>0</v>
      </c>
      <c r="AP12" s="215" t="s">
        <v>588</v>
      </c>
      <c r="AQ12" s="217" t="str">
        <f t="shared" si="14"/>
        <v>YES</v>
      </c>
      <c r="AR12" s="218">
        <v>0</v>
      </c>
      <c r="AS12" s="215" t="s">
        <v>588</v>
      </c>
      <c r="AT12" s="217" t="str">
        <f t="shared" si="15"/>
        <v>YES</v>
      </c>
      <c r="AU12" s="218">
        <v>0</v>
      </c>
      <c r="AV12" s="215" t="s">
        <v>588</v>
      </c>
      <c r="AW12" s="217" t="str">
        <f t="shared" si="16"/>
        <v>YES</v>
      </c>
      <c r="AX12" s="218">
        <v>0</v>
      </c>
      <c r="AY12" s="215" t="s">
        <v>588</v>
      </c>
      <c r="AZ12" s="217" t="str">
        <f t="shared" si="17"/>
        <v>YES</v>
      </c>
      <c r="BA12" s="218">
        <v>0</v>
      </c>
      <c r="BB12" s="215" t="s">
        <v>588</v>
      </c>
      <c r="BC12" s="217" t="str">
        <f t="shared" si="18"/>
        <v>YES</v>
      </c>
      <c r="BD12" s="218">
        <v>0</v>
      </c>
      <c r="BE12" s="215" t="s">
        <v>588</v>
      </c>
      <c r="BF12" s="217" t="str">
        <f t="shared" si="19"/>
        <v>YES</v>
      </c>
      <c r="BG12" s="215" t="s">
        <v>588</v>
      </c>
      <c r="BH12" s="215" t="s">
        <v>588</v>
      </c>
      <c r="BI12" s="217" t="str">
        <f t="shared" si="20"/>
        <v>YES</v>
      </c>
      <c r="BJ12" s="218">
        <v>0</v>
      </c>
      <c r="BK12" s="215" t="s">
        <v>588</v>
      </c>
      <c r="BL12" s="217" t="str">
        <f t="shared" si="21"/>
        <v>YES</v>
      </c>
      <c r="BM12" s="218">
        <v>0</v>
      </c>
      <c r="BN12" s="215" t="s">
        <v>588</v>
      </c>
      <c r="BO12" s="217" t="str">
        <f t="shared" si="22"/>
        <v>YES</v>
      </c>
      <c r="BP12" s="218" t="s">
        <v>588</v>
      </c>
      <c r="BQ12" s="215" t="s">
        <v>588</v>
      </c>
      <c r="BR12" s="217" t="str">
        <f t="shared" si="23"/>
        <v>YES</v>
      </c>
      <c r="BS12" s="218" t="s">
        <v>588</v>
      </c>
      <c r="BT12" s="215" t="s">
        <v>588</v>
      </c>
      <c r="BU12" s="217" t="str">
        <f t="shared" si="24"/>
        <v>YES</v>
      </c>
      <c r="BV12" s="218" t="s">
        <v>588</v>
      </c>
      <c r="BW12" s="215" t="s">
        <v>588</v>
      </c>
      <c r="BX12" s="217" t="str">
        <f t="shared" si="25"/>
        <v>YES</v>
      </c>
      <c r="BY12" s="218" t="s">
        <v>588</v>
      </c>
      <c r="BZ12" s="215" t="s">
        <v>588</v>
      </c>
      <c r="CA12" s="217" t="str">
        <f t="shared" si="26"/>
        <v>YES</v>
      </c>
      <c r="CB12" s="218" t="s">
        <v>588</v>
      </c>
      <c r="CC12" s="215" t="s">
        <v>588</v>
      </c>
      <c r="CD12" s="217" t="str">
        <f t="shared" si="27"/>
        <v>YES</v>
      </c>
      <c r="CE12" s="218" t="s">
        <v>588</v>
      </c>
      <c r="CF12" s="215" t="s">
        <v>588</v>
      </c>
      <c r="CG12" s="217" t="str">
        <f t="shared" si="28"/>
        <v>YES</v>
      </c>
    </row>
    <row r="13" spans="1:85" ht="16" x14ac:dyDescent="0.2">
      <c r="A13" s="215" t="s">
        <v>555</v>
      </c>
      <c r="B13" s="215" t="s">
        <v>588</v>
      </c>
      <c r="C13" s="214" t="s">
        <v>588</v>
      </c>
      <c r="D13" s="217" t="str">
        <f t="shared" si="2"/>
        <v>YES</v>
      </c>
      <c r="E13" s="218">
        <v>0</v>
      </c>
      <c r="F13" s="215" t="s">
        <v>588</v>
      </c>
      <c r="G13" s="217" t="str">
        <f t="shared" si="3"/>
        <v>YES</v>
      </c>
      <c r="H13" s="218">
        <v>0</v>
      </c>
      <c r="I13" s="215" t="s">
        <v>588</v>
      </c>
      <c r="J13" s="217" t="str">
        <f t="shared" si="4"/>
        <v>YES</v>
      </c>
      <c r="K13" s="215" t="s">
        <v>590</v>
      </c>
      <c r="L13" s="215" t="s">
        <v>590</v>
      </c>
      <c r="M13" s="217" t="str">
        <f t="shared" si="5"/>
        <v>YES</v>
      </c>
      <c r="N13" s="218">
        <v>0</v>
      </c>
      <c r="O13" s="215" t="s">
        <v>588</v>
      </c>
      <c r="P13" s="217" t="str">
        <f t="shared" si="6"/>
        <v>YES</v>
      </c>
      <c r="Q13" s="219">
        <v>0</v>
      </c>
      <c r="R13" s="214" t="s">
        <v>588</v>
      </c>
      <c r="S13" s="217" t="str">
        <f t="shared" si="29"/>
        <v>YES</v>
      </c>
      <c r="T13" s="218">
        <v>0</v>
      </c>
      <c r="U13" s="215" t="s">
        <v>588</v>
      </c>
      <c r="V13" s="217" t="str">
        <f t="shared" si="7"/>
        <v>YES</v>
      </c>
      <c r="W13" s="218">
        <v>0</v>
      </c>
      <c r="X13" s="215" t="s">
        <v>588</v>
      </c>
      <c r="Y13" s="217" t="str">
        <f t="shared" si="8"/>
        <v>YES</v>
      </c>
      <c r="Z13" s="218">
        <v>0</v>
      </c>
      <c r="AA13" s="215" t="s">
        <v>588</v>
      </c>
      <c r="AB13" s="217" t="str">
        <f t="shared" si="9"/>
        <v>YES</v>
      </c>
      <c r="AC13" s="218">
        <v>0</v>
      </c>
      <c r="AD13" s="215" t="s">
        <v>588</v>
      </c>
      <c r="AE13" s="217" t="str">
        <f t="shared" si="10"/>
        <v>YES</v>
      </c>
      <c r="AF13" s="218" t="s">
        <v>588</v>
      </c>
      <c r="AG13" s="215" t="s">
        <v>588</v>
      </c>
      <c r="AH13" s="217" t="str">
        <f t="shared" si="11"/>
        <v>YES</v>
      </c>
      <c r="AI13" s="218" t="s">
        <v>588</v>
      </c>
      <c r="AJ13" s="215" t="s">
        <v>588</v>
      </c>
      <c r="AK13" s="217" t="str">
        <f t="shared" si="12"/>
        <v>YES</v>
      </c>
      <c r="AL13" s="218">
        <v>0</v>
      </c>
      <c r="AM13" s="215" t="s">
        <v>588</v>
      </c>
      <c r="AN13" s="217" t="str">
        <f t="shared" si="13"/>
        <v>YES</v>
      </c>
      <c r="AO13" s="218">
        <v>0</v>
      </c>
      <c r="AP13" s="215" t="s">
        <v>588</v>
      </c>
      <c r="AQ13" s="217" t="str">
        <f t="shared" si="14"/>
        <v>YES</v>
      </c>
      <c r="AR13" s="218">
        <v>0</v>
      </c>
      <c r="AS13" s="215" t="s">
        <v>588</v>
      </c>
      <c r="AT13" s="217" t="str">
        <f t="shared" si="15"/>
        <v>YES</v>
      </c>
      <c r="AU13" s="218">
        <v>0</v>
      </c>
      <c r="AV13" s="215" t="s">
        <v>588</v>
      </c>
      <c r="AW13" s="217" t="str">
        <f t="shared" si="16"/>
        <v>YES</v>
      </c>
      <c r="AX13" s="218">
        <v>0</v>
      </c>
      <c r="AY13" s="215" t="s">
        <v>588</v>
      </c>
      <c r="AZ13" s="217" t="str">
        <f t="shared" si="17"/>
        <v>YES</v>
      </c>
      <c r="BA13" s="218">
        <v>0</v>
      </c>
      <c r="BB13" s="215" t="s">
        <v>588</v>
      </c>
      <c r="BC13" s="217" t="str">
        <f t="shared" si="18"/>
        <v>YES</v>
      </c>
      <c r="BD13" s="218">
        <v>0</v>
      </c>
      <c r="BE13" s="215" t="s">
        <v>588</v>
      </c>
      <c r="BF13" s="217" t="str">
        <f t="shared" si="19"/>
        <v>YES</v>
      </c>
      <c r="BG13" s="215" t="s">
        <v>588</v>
      </c>
      <c r="BH13" s="215" t="s">
        <v>588</v>
      </c>
      <c r="BI13" s="217" t="str">
        <f t="shared" si="20"/>
        <v>YES</v>
      </c>
      <c r="BJ13" s="218">
        <v>0</v>
      </c>
      <c r="BK13" s="215" t="s">
        <v>588</v>
      </c>
      <c r="BL13" s="217" t="str">
        <f t="shared" si="21"/>
        <v>YES</v>
      </c>
      <c r="BM13" s="218">
        <v>0</v>
      </c>
      <c r="BN13" s="215" t="s">
        <v>588</v>
      </c>
      <c r="BO13" s="217" t="str">
        <f t="shared" si="22"/>
        <v>YES</v>
      </c>
      <c r="BP13" s="218" t="s">
        <v>588</v>
      </c>
      <c r="BQ13" s="215" t="s">
        <v>588</v>
      </c>
      <c r="BR13" s="217" t="str">
        <f t="shared" si="23"/>
        <v>YES</v>
      </c>
      <c r="BS13" s="218" t="s">
        <v>588</v>
      </c>
      <c r="BT13" s="215" t="s">
        <v>588</v>
      </c>
      <c r="BU13" s="217" t="str">
        <f t="shared" si="24"/>
        <v>YES</v>
      </c>
      <c r="BV13" s="218" t="s">
        <v>588</v>
      </c>
      <c r="BW13" s="215" t="s">
        <v>588</v>
      </c>
      <c r="BX13" s="217" t="str">
        <f t="shared" si="25"/>
        <v>YES</v>
      </c>
      <c r="BY13" s="218" t="s">
        <v>588</v>
      </c>
      <c r="BZ13" s="215" t="s">
        <v>588</v>
      </c>
      <c r="CA13" s="217" t="str">
        <f t="shared" si="26"/>
        <v>YES</v>
      </c>
      <c r="CB13" s="218" t="s">
        <v>588</v>
      </c>
      <c r="CC13" s="215" t="s">
        <v>588</v>
      </c>
      <c r="CD13" s="217" t="str">
        <f t="shared" si="27"/>
        <v>YES</v>
      </c>
      <c r="CE13" s="218" t="s">
        <v>588</v>
      </c>
      <c r="CF13" s="215" t="s">
        <v>588</v>
      </c>
      <c r="CG13" s="217" t="str">
        <f t="shared" si="28"/>
        <v>YES</v>
      </c>
    </row>
    <row r="14" spans="1:85" ht="80" x14ac:dyDescent="0.2">
      <c r="A14" s="215" t="s">
        <v>556</v>
      </c>
      <c r="B14" s="215" t="s">
        <v>588</v>
      </c>
      <c r="C14" s="214" t="s">
        <v>588</v>
      </c>
      <c r="D14" s="217" t="str">
        <f t="shared" si="2"/>
        <v>YES</v>
      </c>
      <c r="E14" s="218">
        <v>0</v>
      </c>
      <c r="F14" s="215" t="s">
        <v>588</v>
      </c>
      <c r="G14" s="217" t="str">
        <f t="shared" si="3"/>
        <v>YES</v>
      </c>
      <c r="H14" s="218">
        <v>0</v>
      </c>
      <c r="I14" s="215" t="s">
        <v>588</v>
      </c>
      <c r="J14" s="217" t="str">
        <f t="shared" si="4"/>
        <v>YES</v>
      </c>
      <c r="K14" s="215" t="s">
        <v>590</v>
      </c>
      <c r="L14" s="215" t="s">
        <v>590</v>
      </c>
      <c r="M14" s="217" t="str">
        <f t="shared" si="5"/>
        <v>YES</v>
      </c>
      <c r="N14" s="218">
        <v>0</v>
      </c>
      <c r="O14" s="215" t="s">
        <v>588</v>
      </c>
      <c r="P14" s="217" t="str">
        <f t="shared" si="6"/>
        <v>YES</v>
      </c>
      <c r="Q14" s="219" t="s">
        <v>557</v>
      </c>
      <c r="R14" s="214" t="s">
        <v>612</v>
      </c>
      <c r="S14" s="217" t="s">
        <v>541</v>
      </c>
      <c r="T14" s="218">
        <v>0</v>
      </c>
      <c r="U14" s="215" t="s">
        <v>588</v>
      </c>
      <c r="V14" s="217" t="str">
        <f t="shared" si="7"/>
        <v>YES</v>
      </c>
      <c r="W14" s="218">
        <v>0</v>
      </c>
      <c r="X14" s="215" t="s">
        <v>588</v>
      </c>
      <c r="Y14" s="217" t="str">
        <f t="shared" si="8"/>
        <v>YES</v>
      </c>
      <c r="Z14" s="218">
        <v>0</v>
      </c>
      <c r="AA14" s="215" t="s">
        <v>588</v>
      </c>
      <c r="AB14" s="217" t="str">
        <f t="shared" si="9"/>
        <v>YES</v>
      </c>
      <c r="AC14" s="218">
        <v>0</v>
      </c>
      <c r="AD14" s="215" t="s">
        <v>588</v>
      </c>
      <c r="AE14" s="217" t="str">
        <f t="shared" si="10"/>
        <v>YES</v>
      </c>
      <c r="AF14" s="218" t="s">
        <v>588</v>
      </c>
      <c r="AG14" s="215" t="s">
        <v>588</v>
      </c>
      <c r="AH14" s="217" t="str">
        <f t="shared" si="11"/>
        <v>YES</v>
      </c>
      <c r="AI14" s="218" t="s">
        <v>588</v>
      </c>
      <c r="AJ14" s="215" t="s">
        <v>588</v>
      </c>
      <c r="AK14" s="217" t="str">
        <f t="shared" si="12"/>
        <v>YES</v>
      </c>
      <c r="AL14" s="218">
        <v>0</v>
      </c>
      <c r="AM14" s="215" t="s">
        <v>588</v>
      </c>
      <c r="AN14" s="217" t="str">
        <f t="shared" si="13"/>
        <v>YES</v>
      </c>
      <c r="AO14" s="218">
        <v>0</v>
      </c>
      <c r="AP14" s="215" t="s">
        <v>588</v>
      </c>
      <c r="AQ14" s="217" t="str">
        <f t="shared" si="14"/>
        <v>YES</v>
      </c>
      <c r="AR14" s="218">
        <v>0</v>
      </c>
      <c r="AS14" s="215" t="s">
        <v>588</v>
      </c>
      <c r="AT14" s="217" t="str">
        <f t="shared" si="15"/>
        <v>YES</v>
      </c>
      <c r="AU14" s="218">
        <v>0</v>
      </c>
      <c r="AV14" s="215" t="s">
        <v>588</v>
      </c>
      <c r="AW14" s="217" t="str">
        <f t="shared" si="16"/>
        <v>YES</v>
      </c>
      <c r="AX14" s="218">
        <v>0</v>
      </c>
      <c r="AY14" s="215" t="s">
        <v>588</v>
      </c>
      <c r="AZ14" s="217" t="str">
        <f t="shared" si="17"/>
        <v>YES</v>
      </c>
      <c r="BA14" s="218">
        <v>0</v>
      </c>
      <c r="BB14" s="215" t="s">
        <v>588</v>
      </c>
      <c r="BC14" s="217" t="str">
        <f t="shared" si="18"/>
        <v>YES</v>
      </c>
      <c r="BD14" s="218">
        <v>0</v>
      </c>
      <c r="BE14" s="215" t="s">
        <v>588</v>
      </c>
      <c r="BF14" s="217" t="str">
        <f t="shared" si="19"/>
        <v>YES</v>
      </c>
      <c r="BG14" s="215" t="s">
        <v>588</v>
      </c>
      <c r="BH14" s="215" t="s">
        <v>588</v>
      </c>
      <c r="BI14" s="217" t="str">
        <f t="shared" si="20"/>
        <v>YES</v>
      </c>
      <c r="BJ14" s="218">
        <v>0</v>
      </c>
      <c r="BK14" s="215" t="s">
        <v>588</v>
      </c>
      <c r="BL14" s="217" t="str">
        <f t="shared" si="21"/>
        <v>YES</v>
      </c>
      <c r="BM14" s="218">
        <v>0</v>
      </c>
      <c r="BN14" s="215" t="s">
        <v>588</v>
      </c>
      <c r="BO14" s="217" t="str">
        <f t="shared" si="22"/>
        <v>YES</v>
      </c>
      <c r="BP14" s="218" t="s">
        <v>588</v>
      </c>
      <c r="BQ14" s="215" t="s">
        <v>588</v>
      </c>
      <c r="BR14" s="217" t="str">
        <f t="shared" si="23"/>
        <v>YES</v>
      </c>
      <c r="BS14" s="218" t="s">
        <v>588</v>
      </c>
      <c r="BT14" s="215" t="s">
        <v>588</v>
      </c>
      <c r="BU14" s="217" t="str">
        <f t="shared" si="24"/>
        <v>YES</v>
      </c>
      <c r="BV14" s="218" t="s">
        <v>588</v>
      </c>
      <c r="BW14" s="215" t="s">
        <v>588</v>
      </c>
      <c r="BX14" s="217" t="str">
        <f t="shared" si="25"/>
        <v>YES</v>
      </c>
      <c r="BY14" s="218" t="s">
        <v>588</v>
      </c>
      <c r="BZ14" s="215" t="s">
        <v>588</v>
      </c>
      <c r="CA14" s="217" t="str">
        <f t="shared" si="26"/>
        <v>YES</v>
      </c>
      <c r="CB14" s="218" t="s">
        <v>588</v>
      </c>
      <c r="CC14" s="215" t="s">
        <v>588</v>
      </c>
      <c r="CD14" s="217" t="str">
        <f t="shared" si="27"/>
        <v>YES</v>
      </c>
      <c r="CE14" s="218" t="s">
        <v>588</v>
      </c>
      <c r="CF14" s="215" t="s">
        <v>588</v>
      </c>
      <c r="CG14" s="217" t="str">
        <f t="shared" si="28"/>
        <v>YES</v>
      </c>
    </row>
    <row r="15" spans="1:85" ht="16" x14ac:dyDescent="0.2">
      <c r="A15" s="215" t="s">
        <v>558</v>
      </c>
      <c r="B15" s="215" t="s">
        <v>588</v>
      </c>
      <c r="C15" s="214" t="s">
        <v>588</v>
      </c>
      <c r="D15" s="217" t="str">
        <f t="shared" si="2"/>
        <v>YES</v>
      </c>
      <c r="E15" s="218">
        <v>0</v>
      </c>
      <c r="F15" s="215" t="s">
        <v>588</v>
      </c>
      <c r="G15" s="217" t="str">
        <f t="shared" si="3"/>
        <v>YES</v>
      </c>
      <c r="H15" s="218">
        <v>0</v>
      </c>
      <c r="I15" s="215" t="s">
        <v>588</v>
      </c>
      <c r="J15" s="217" t="str">
        <f t="shared" si="4"/>
        <v>YES</v>
      </c>
      <c r="K15" s="219">
        <v>0</v>
      </c>
      <c r="L15" s="215" t="s">
        <v>588</v>
      </c>
      <c r="M15" s="217" t="str">
        <f t="shared" si="5"/>
        <v>YES</v>
      </c>
      <c r="N15" s="218">
        <v>0</v>
      </c>
      <c r="O15" s="215" t="s">
        <v>588</v>
      </c>
      <c r="P15" s="217" t="str">
        <f t="shared" si="6"/>
        <v>YES</v>
      </c>
      <c r="Q15" s="219">
        <v>0</v>
      </c>
      <c r="R15" s="214" t="s">
        <v>588</v>
      </c>
      <c r="S15" s="217" t="str">
        <f t="shared" si="29"/>
        <v>YES</v>
      </c>
      <c r="T15" s="218">
        <v>0</v>
      </c>
      <c r="U15" s="215" t="s">
        <v>588</v>
      </c>
      <c r="V15" s="217" t="str">
        <f t="shared" si="7"/>
        <v>YES</v>
      </c>
      <c r="W15" s="218">
        <v>0</v>
      </c>
      <c r="X15" s="215" t="s">
        <v>588</v>
      </c>
      <c r="Y15" s="217" t="str">
        <f t="shared" si="8"/>
        <v>YES</v>
      </c>
      <c r="Z15" s="218">
        <v>0</v>
      </c>
      <c r="AA15" s="215" t="s">
        <v>588</v>
      </c>
      <c r="AB15" s="217" t="str">
        <f t="shared" si="9"/>
        <v>YES</v>
      </c>
      <c r="AC15" s="218">
        <v>0</v>
      </c>
      <c r="AD15" s="215" t="s">
        <v>588</v>
      </c>
      <c r="AE15" s="217" t="str">
        <f t="shared" si="10"/>
        <v>YES</v>
      </c>
      <c r="AF15" s="218" t="s">
        <v>588</v>
      </c>
      <c r="AG15" s="215" t="s">
        <v>588</v>
      </c>
      <c r="AH15" s="217" t="str">
        <f t="shared" si="11"/>
        <v>YES</v>
      </c>
      <c r="AI15" s="218" t="s">
        <v>588</v>
      </c>
      <c r="AJ15" s="215" t="s">
        <v>588</v>
      </c>
      <c r="AK15" s="217" t="str">
        <f t="shared" si="12"/>
        <v>YES</v>
      </c>
      <c r="AL15" s="218">
        <v>0</v>
      </c>
      <c r="AM15" s="215" t="s">
        <v>588</v>
      </c>
      <c r="AN15" s="217" t="str">
        <f t="shared" si="13"/>
        <v>YES</v>
      </c>
      <c r="AO15" s="218">
        <v>0</v>
      </c>
      <c r="AP15" s="215" t="s">
        <v>588</v>
      </c>
      <c r="AQ15" s="217" t="str">
        <f t="shared" si="14"/>
        <v>YES</v>
      </c>
      <c r="AR15" s="218">
        <v>0</v>
      </c>
      <c r="AS15" s="215" t="s">
        <v>588</v>
      </c>
      <c r="AT15" s="217" t="str">
        <f t="shared" si="15"/>
        <v>YES</v>
      </c>
      <c r="AU15" s="218">
        <v>0</v>
      </c>
      <c r="AV15" s="215" t="s">
        <v>588</v>
      </c>
      <c r="AW15" s="217" t="str">
        <f t="shared" si="16"/>
        <v>YES</v>
      </c>
      <c r="AX15" s="218">
        <v>0</v>
      </c>
      <c r="AY15" s="215" t="s">
        <v>588</v>
      </c>
      <c r="AZ15" s="217" t="str">
        <f t="shared" si="17"/>
        <v>YES</v>
      </c>
      <c r="BA15" s="218">
        <v>0</v>
      </c>
      <c r="BB15" s="215" t="s">
        <v>588</v>
      </c>
      <c r="BC15" s="217" t="str">
        <f t="shared" si="18"/>
        <v>YES</v>
      </c>
      <c r="BD15" s="218">
        <v>0</v>
      </c>
      <c r="BE15" s="215" t="s">
        <v>588</v>
      </c>
      <c r="BF15" s="217" t="str">
        <f t="shared" si="19"/>
        <v>YES</v>
      </c>
      <c r="BG15" s="215" t="s">
        <v>588</v>
      </c>
      <c r="BH15" s="215" t="s">
        <v>588</v>
      </c>
      <c r="BI15" s="217" t="str">
        <f t="shared" si="20"/>
        <v>YES</v>
      </c>
      <c r="BJ15" s="218">
        <v>0</v>
      </c>
      <c r="BK15" s="215" t="s">
        <v>588</v>
      </c>
      <c r="BL15" s="217" t="str">
        <f t="shared" si="21"/>
        <v>YES</v>
      </c>
      <c r="BM15" s="218">
        <v>0</v>
      </c>
      <c r="BN15" s="215" t="s">
        <v>588</v>
      </c>
      <c r="BO15" s="217" t="str">
        <f t="shared" si="22"/>
        <v>YES</v>
      </c>
      <c r="BP15" s="218" t="s">
        <v>588</v>
      </c>
      <c r="BQ15" s="215" t="s">
        <v>588</v>
      </c>
      <c r="BR15" s="217" t="str">
        <f t="shared" si="23"/>
        <v>YES</v>
      </c>
      <c r="BS15" s="218" t="s">
        <v>588</v>
      </c>
      <c r="BT15" s="215" t="s">
        <v>588</v>
      </c>
      <c r="BU15" s="217" t="str">
        <f t="shared" si="24"/>
        <v>YES</v>
      </c>
      <c r="BV15" s="218" t="s">
        <v>588</v>
      </c>
      <c r="BW15" s="215" t="s">
        <v>588</v>
      </c>
      <c r="BX15" s="217" t="str">
        <f t="shared" si="25"/>
        <v>YES</v>
      </c>
      <c r="BY15" s="218" t="s">
        <v>588</v>
      </c>
      <c r="BZ15" s="215" t="s">
        <v>588</v>
      </c>
      <c r="CA15" s="217" t="str">
        <f t="shared" si="26"/>
        <v>YES</v>
      </c>
      <c r="CB15" s="218" t="s">
        <v>588</v>
      </c>
      <c r="CC15" s="215" t="s">
        <v>588</v>
      </c>
      <c r="CD15" s="217" t="str">
        <f t="shared" si="27"/>
        <v>YES</v>
      </c>
      <c r="CE15" s="218" t="s">
        <v>588</v>
      </c>
      <c r="CF15" s="215" t="s">
        <v>588</v>
      </c>
      <c r="CG15" s="217" t="str">
        <f t="shared" si="28"/>
        <v>YES</v>
      </c>
    </row>
    <row r="16" spans="1:85" ht="48" x14ac:dyDescent="0.2">
      <c r="A16" s="215" t="s">
        <v>559</v>
      </c>
      <c r="B16" s="215" t="s">
        <v>588</v>
      </c>
      <c r="C16" s="214" t="s">
        <v>588</v>
      </c>
      <c r="D16" s="217" t="str">
        <f t="shared" si="2"/>
        <v>YES</v>
      </c>
      <c r="E16" s="218">
        <v>0</v>
      </c>
      <c r="F16" s="215" t="s">
        <v>588</v>
      </c>
      <c r="G16" s="217" t="str">
        <f t="shared" si="3"/>
        <v>YES</v>
      </c>
      <c r="H16" s="218">
        <v>0</v>
      </c>
      <c r="I16" s="215" t="s">
        <v>588</v>
      </c>
      <c r="J16" s="217" t="str">
        <f t="shared" si="4"/>
        <v>YES</v>
      </c>
      <c r="K16" s="219">
        <v>0</v>
      </c>
      <c r="L16" s="215" t="s">
        <v>588</v>
      </c>
      <c r="M16" s="217" t="str">
        <f t="shared" si="5"/>
        <v>YES</v>
      </c>
      <c r="N16" s="218">
        <v>0</v>
      </c>
      <c r="O16" s="215" t="s">
        <v>588</v>
      </c>
      <c r="P16" s="217" t="str">
        <f t="shared" si="6"/>
        <v>YES</v>
      </c>
      <c r="Q16" s="219" t="s">
        <v>560</v>
      </c>
      <c r="R16" s="214" t="s">
        <v>597</v>
      </c>
      <c r="S16" s="217" t="s">
        <v>541</v>
      </c>
      <c r="T16" s="218">
        <v>0</v>
      </c>
      <c r="U16" s="215" t="s">
        <v>588</v>
      </c>
      <c r="V16" s="217" t="str">
        <f t="shared" si="7"/>
        <v>YES</v>
      </c>
      <c r="W16" s="218">
        <v>0</v>
      </c>
      <c r="X16" s="215" t="s">
        <v>588</v>
      </c>
      <c r="Y16" s="217" t="str">
        <f t="shared" si="8"/>
        <v>YES</v>
      </c>
      <c r="Z16" s="218">
        <v>0</v>
      </c>
      <c r="AA16" s="215" t="s">
        <v>588</v>
      </c>
      <c r="AB16" s="217" t="str">
        <f t="shared" si="9"/>
        <v>YES</v>
      </c>
      <c r="AC16" s="218">
        <v>0</v>
      </c>
      <c r="AD16" s="215" t="s">
        <v>588</v>
      </c>
      <c r="AE16" s="217" t="str">
        <f t="shared" si="10"/>
        <v>YES</v>
      </c>
      <c r="AF16" s="218" t="s">
        <v>588</v>
      </c>
      <c r="AG16" s="215" t="s">
        <v>588</v>
      </c>
      <c r="AH16" s="217" t="str">
        <f t="shared" si="11"/>
        <v>YES</v>
      </c>
      <c r="AI16" s="218" t="s">
        <v>588</v>
      </c>
      <c r="AJ16" s="215" t="s">
        <v>588</v>
      </c>
      <c r="AK16" s="217" t="str">
        <f t="shared" si="12"/>
        <v>YES</v>
      </c>
      <c r="AL16" s="218">
        <v>0</v>
      </c>
      <c r="AM16" s="215" t="s">
        <v>588</v>
      </c>
      <c r="AN16" s="217" t="str">
        <f t="shared" si="13"/>
        <v>YES</v>
      </c>
      <c r="AO16" s="218">
        <v>0</v>
      </c>
      <c r="AP16" s="215" t="s">
        <v>588</v>
      </c>
      <c r="AQ16" s="217" t="str">
        <f t="shared" si="14"/>
        <v>YES</v>
      </c>
      <c r="AR16" s="218">
        <v>0</v>
      </c>
      <c r="AS16" s="215" t="s">
        <v>588</v>
      </c>
      <c r="AT16" s="217" t="str">
        <f t="shared" si="15"/>
        <v>YES</v>
      </c>
      <c r="AU16" s="218">
        <v>0</v>
      </c>
      <c r="AV16" s="215" t="s">
        <v>588</v>
      </c>
      <c r="AW16" s="217" t="str">
        <f t="shared" si="16"/>
        <v>YES</v>
      </c>
      <c r="AX16" s="218">
        <v>0</v>
      </c>
      <c r="AY16" s="215" t="s">
        <v>588</v>
      </c>
      <c r="AZ16" s="217" t="str">
        <f t="shared" si="17"/>
        <v>YES</v>
      </c>
      <c r="BA16" s="218">
        <v>0</v>
      </c>
      <c r="BB16" s="215" t="s">
        <v>588</v>
      </c>
      <c r="BC16" s="217" t="str">
        <f t="shared" si="18"/>
        <v>YES</v>
      </c>
      <c r="BD16" s="218">
        <v>0</v>
      </c>
      <c r="BE16" s="215" t="s">
        <v>588</v>
      </c>
      <c r="BF16" s="217" t="str">
        <f t="shared" si="19"/>
        <v>YES</v>
      </c>
      <c r="BG16" s="215" t="s">
        <v>588</v>
      </c>
      <c r="BH16" s="215" t="s">
        <v>588</v>
      </c>
      <c r="BI16" s="217" t="str">
        <f t="shared" si="20"/>
        <v>YES</v>
      </c>
      <c r="BJ16" s="218">
        <v>0</v>
      </c>
      <c r="BK16" s="215" t="s">
        <v>588</v>
      </c>
      <c r="BL16" s="217" t="str">
        <f t="shared" si="21"/>
        <v>YES</v>
      </c>
      <c r="BM16" s="218">
        <v>0</v>
      </c>
      <c r="BN16" s="215" t="s">
        <v>588</v>
      </c>
      <c r="BO16" s="217" t="str">
        <f t="shared" si="22"/>
        <v>YES</v>
      </c>
      <c r="BP16" s="218" t="s">
        <v>588</v>
      </c>
      <c r="BQ16" s="215" t="s">
        <v>588</v>
      </c>
      <c r="BR16" s="217" t="str">
        <f t="shared" si="23"/>
        <v>YES</v>
      </c>
      <c r="BS16" s="218" t="s">
        <v>588</v>
      </c>
      <c r="BT16" s="215" t="s">
        <v>588</v>
      </c>
      <c r="BU16" s="217" t="str">
        <f t="shared" si="24"/>
        <v>YES</v>
      </c>
      <c r="BV16" s="218" t="s">
        <v>588</v>
      </c>
      <c r="BW16" s="215" t="s">
        <v>588</v>
      </c>
      <c r="BX16" s="217" t="str">
        <f t="shared" si="25"/>
        <v>YES</v>
      </c>
      <c r="BY16" s="218" t="s">
        <v>588</v>
      </c>
      <c r="BZ16" s="215" t="s">
        <v>588</v>
      </c>
      <c r="CA16" s="217" t="str">
        <f t="shared" si="26"/>
        <v>YES</v>
      </c>
      <c r="CB16" s="218" t="s">
        <v>588</v>
      </c>
      <c r="CC16" s="215" t="s">
        <v>588</v>
      </c>
      <c r="CD16" s="217" t="str">
        <f t="shared" si="27"/>
        <v>YES</v>
      </c>
      <c r="CE16" s="218" t="s">
        <v>588</v>
      </c>
      <c r="CF16" s="215" t="s">
        <v>588</v>
      </c>
      <c r="CG16" s="217" t="str">
        <f t="shared" si="28"/>
        <v>YES</v>
      </c>
    </row>
    <row r="17" spans="1:85" ht="16" x14ac:dyDescent="0.2">
      <c r="A17" s="215" t="s">
        <v>561</v>
      </c>
      <c r="B17" s="215" t="s">
        <v>588</v>
      </c>
      <c r="C17" s="214" t="s">
        <v>588</v>
      </c>
      <c r="D17" s="217" t="str">
        <f t="shared" si="2"/>
        <v>YES</v>
      </c>
      <c r="E17" s="218">
        <v>0</v>
      </c>
      <c r="F17" s="215" t="s">
        <v>588</v>
      </c>
      <c r="G17" s="217" t="str">
        <f t="shared" si="3"/>
        <v>YES</v>
      </c>
      <c r="H17" s="218">
        <v>0</v>
      </c>
      <c r="I17" s="215" t="s">
        <v>588</v>
      </c>
      <c r="J17" s="217" t="str">
        <f t="shared" si="4"/>
        <v>YES</v>
      </c>
      <c r="K17" s="219">
        <v>0</v>
      </c>
      <c r="L17" s="215" t="s">
        <v>588</v>
      </c>
      <c r="M17" s="217" t="str">
        <f t="shared" si="5"/>
        <v>YES</v>
      </c>
      <c r="N17" s="218">
        <v>0</v>
      </c>
      <c r="O17" s="215" t="s">
        <v>588</v>
      </c>
      <c r="P17" s="217" t="str">
        <f t="shared" si="6"/>
        <v>YES</v>
      </c>
      <c r="Q17" s="219">
        <v>0</v>
      </c>
      <c r="R17" s="214" t="s">
        <v>588</v>
      </c>
      <c r="S17" s="217" t="str">
        <f t="shared" si="29"/>
        <v>YES</v>
      </c>
      <c r="T17" s="218">
        <v>0</v>
      </c>
      <c r="U17" s="215" t="s">
        <v>588</v>
      </c>
      <c r="V17" s="217" t="str">
        <f t="shared" si="7"/>
        <v>YES</v>
      </c>
      <c r="W17" s="218">
        <v>0</v>
      </c>
      <c r="X17" s="215" t="s">
        <v>588</v>
      </c>
      <c r="Y17" s="217" t="str">
        <f t="shared" si="8"/>
        <v>YES</v>
      </c>
      <c r="Z17" s="218">
        <v>0</v>
      </c>
      <c r="AA17" s="215" t="s">
        <v>588</v>
      </c>
      <c r="AB17" s="217" t="str">
        <f t="shared" si="9"/>
        <v>YES</v>
      </c>
      <c r="AC17" s="218">
        <v>0</v>
      </c>
      <c r="AD17" s="215" t="s">
        <v>588</v>
      </c>
      <c r="AE17" s="217" t="str">
        <f t="shared" si="10"/>
        <v>YES</v>
      </c>
      <c r="AF17" s="218" t="s">
        <v>588</v>
      </c>
      <c r="AG17" s="215" t="s">
        <v>588</v>
      </c>
      <c r="AH17" s="217" t="str">
        <f t="shared" si="11"/>
        <v>YES</v>
      </c>
      <c r="AI17" s="218" t="s">
        <v>588</v>
      </c>
      <c r="AJ17" s="215" t="s">
        <v>588</v>
      </c>
      <c r="AK17" s="217" t="str">
        <f t="shared" si="12"/>
        <v>YES</v>
      </c>
      <c r="AL17" s="218">
        <v>0</v>
      </c>
      <c r="AM17" s="215" t="s">
        <v>588</v>
      </c>
      <c r="AN17" s="217" t="str">
        <f t="shared" si="13"/>
        <v>YES</v>
      </c>
      <c r="AO17" s="218">
        <v>0</v>
      </c>
      <c r="AP17" s="215" t="s">
        <v>588</v>
      </c>
      <c r="AQ17" s="217" t="str">
        <f t="shared" si="14"/>
        <v>YES</v>
      </c>
      <c r="AR17" s="218">
        <v>0</v>
      </c>
      <c r="AS17" s="215" t="s">
        <v>588</v>
      </c>
      <c r="AT17" s="217" t="str">
        <f t="shared" si="15"/>
        <v>YES</v>
      </c>
      <c r="AU17" s="218">
        <v>0</v>
      </c>
      <c r="AV17" s="215" t="s">
        <v>588</v>
      </c>
      <c r="AW17" s="217" t="str">
        <f t="shared" si="16"/>
        <v>YES</v>
      </c>
      <c r="AX17" s="218">
        <v>0</v>
      </c>
      <c r="AY17" s="215" t="s">
        <v>588</v>
      </c>
      <c r="AZ17" s="217" t="str">
        <f t="shared" si="17"/>
        <v>YES</v>
      </c>
      <c r="BA17" s="218">
        <v>0</v>
      </c>
      <c r="BB17" s="215" t="s">
        <v>588</v>
      </c>
      <c r="BC17" s="217" t="str">
        <f t="shared" si="18"/>
        <v>YES</v>
      </c>
      <c r="BD17" s="218">
        <v>0</v>
      </c>
      <c r="BE17" s="215" t="s">
        <v>588</v>
      </c>
      <c r="BF17" s="217" t="str">
        <f t="shared" si="19"/>
        <v>YES</v>
      </c>
      <c r="BG17" s="215" t="s">
        <v>588</v>
      </c>
      <c r="BH17" s="215" t="s">
        <v>588</v>
      </c>
      <c r="BI17" s="217" t="str">
        <f t="shared" si="20"/>
        <v>YES</v>
      </c>
      <c r="BJ17" s="218">
        <v>0</v>
      </c>
      <c r="BK17" s="215" t="s">
        <v>588</v>
      </c>
      <c r="BL17" s="217" t="str">
        <f t="shared" si="21"/>
        <v>YES</v>
      </c>
      <c r="BM17" s="218">
        <v>0</v>
      </c>
      <c r="BN17" s="215" t="s">
        <v>588</v>
      </c>
      <c r="BO17" s="217" t="str">
        <f t="shared" si="22"/>
        <v>YES</v>
      </c>
      <c r="BP17" s="218" t="s">
        <v>588</v>
      </c>
      <c r="BQ17" s="215" t="s">
        <v>588</v>
      </c>
      <c r="BR17" s="217" t="str">
        <f t="shared" si="23"/>
        <v>YES</v>
      </c>
      <c r="BS17" s="218" t="s">
        <v>588</v>
      </c>
      <c r="BT17" s="215" t="s">
        <v>588</v>
      </c>
      <c r="BU17" s="217" t="str">
        <f t="shared" si="24"/>
        <v>YES</v>
      </c>
      <c r="BV17" s="218" t="s">
        <v>588</v>
      </c>
      <c r="BW17" s="215" t="s">
        <v>588</v>
      </c>
      <c r="BX17" s="217" t="str">
        <f t="shared" si="25"/>
        <v>YES</v>
      </c>
      <c r="BY17" s="218" t="s">
        <v>588</v>
      </c>
      <c r="BZ17" s="215" t="s">
        <v>588</v>
      </c>
      <c r="CA17" s="217" t="str">
        <f t="shared" si="26"/>
        <v>YES</v>
      </c>
      <c r="CB17" s="218" t="s">
        <v>588</v>
      </c>
      <c r="CC17" s="215" t="s">
        <v>588</v>
      </c>
      <c r="CD17" s="217" t="str">
        <f t="shared" si="27"/>
        <v>YES</v>
      </c>
      <c r="CE17" s="218" t="s">
        <v>588</v>
      </c>
      <c r="CF17" s="215" t="s">
        <v>588</v>
      </c>
      <c r="CG17" s="217" t="str">
        <f t="shared" si="28"/>
        <v>YES</v>
      </c>
    </row>
    <row r="18" spans="1:85" ht="192" x14ac:dyDescent="0.2">
      <c r="A18" s="215" t="s">
        <v>562</v>
      </c>
      <c r="B18" s="215">
        <v>0</v>
      </c>
      <c r="C18" s="214" t="s">
        <v>588</v>
      </c>
      <c r="D18" s="217" t="str">
        <f t="shared" si="2"/>
        <v>YES</v>
      </c>
      <c r="E18" s="218">
        <v>0</v>
      </c>
      <c r="F18" s="215" t="s">
        <v>588</v>
      </c>
      <c r="G18" s="217" t="str">
        <f t="shared" si="3"/>
        <v>YES</v>
      </c>
      <c r="H18" s="218">
        <v>0</v>
      </c>
      <c r="I18" s="215" t="s">
        <v>588</v>
      </c>
      <c r="J18" s="217" t="str">
        <f t="shared" si="4"/>
        <v>YES</v>
      </c>
      <c r="K18" s="219">
        <v>0</v>
      </c>
      <c r="L18" s="215" t="s">
        <v>588</v>
      </c>
      <c r="M18" s="217" t="str">
        <f t="shared" si="5"/>
        <v>YES</v>
      </c>
      <c r="N18" s="218">
        <v>0</v>
      </c>
      <c r="O18" s="215" t="s">
        <v>588</v>
      </c>
      <c r="P18" s="217" t="str">
        <f t="shared" si="6"/>
        <v>YES</v>
      </c>
      <c r="Q18" s="219" t="s">
        <v>563</v>
      </c>
      <c r="R18" s="214" t="s">
        <v>598</v>
      </c>
      <c r="S18" s="217" t="s">
        <v>541</v>
      </c>
      <c r="T18" s="218">
        <v>0</v>
      </c>
      <c r="U18" s="215" t="s">
        <v>588</v>
      </c>
      <c r="V18" s="217" t="str">
        <f t="shared" si="7"/>
        <v>YES</v>
      </c>
      <c r="W18" s="218">
        <v>0</v>
      </c>
      <c r="X18" s="215" t="s">
        <v>588</v>
      </c>
      <c r="Y18" s="217" t="str">
        <f t="shared" si="8"/>
        <v>YES</v>
      </c>
      <c r="Z18" s="218">
        <v>0</v>
      </c>
      <c r="AA18" s="215" t="s">
        <v>588</v>
      </c>
      <c r="AB18" s="217" t="str">
        <f t="shared" si="9"/>
        <v>YES</v>
      </c>
      <c r="AC18" s="218">
        <v>0</v>
      </c>
      <c r="AD18" s="215" t="s">
        <v>588</v>
      </c>
      <c r="AE18" s="217" t="str">
        <f t="shared" si="10"/>
        <v>YES</v>
      </c>
      <c r="AF18" s="218" t="s">
        <v>588</v>
      </c>
      <c r="AG18" s="215" t="s">
        <v>588</v>
      </c>
      <c r="AH18" s="217" t="str">
        <f t="shared" si="11"/>
        <v>YES</v>
      </c>
      <c r="AI18" s="218" t="s">
        <v>588</v>
      </c>
      <c r="AJ18" s="215" t="s">
        <v>588</v>
      </c>
      <c r="AK18" s="217" t="str">
        <f t="shared" si="12"/>
        <v>YES</v>
      </c>
      <c r="AL18" s="218">
        <v>0</v>
      </c>
      <c r="AM18" s="215" t="s">
        <v>588</v>
      </c>
      <c r="AN18" s="217" t="str">
        <f t="shared" si="13"/>
        <v>YES</v>
      </c>
      <c r="AO18" s="218">
        <v>0</v>
      </c>
      <c r="AP18" s="215" t="s">
        <v>588</v>
      </c>
      <c r="AQ18" s="217" t="str">
        <f t="shared" si="14"/>
        <v>YES</v>
      </c>
      <c r="AR18" s="218">
        <v>0</v>
      </c>
      <c r="AS18" s="215" t="s">
        <v>588</v>
      </c>
      <c r="AT18" s="217" t="str">
        <f t="shared" si="15"/>
        <v>YES</v>
      </c>
      <c r="AU18" s="218">
        <v>0</v>
      </c>
      <c r="AV18" s="215" t="s">
        <v>588</v>
      </c>
      <c r="AW18" s="217" t="str">
        <f t="shared" si="16"/>
        <v>YES</v>
      </c>
      <c r="AX18" s="218">
        <v>0</v>
      </c>
      <c r="AY18" s="215" t="s">
        <v>588</v>
      </c>
      <c r="AZ18" s="217" t="str">
        <f t="shared" si="17"/>
        <v>YES</v>
      </c>
      <c r="BA18" s="218">
        <v>0</v>
      </c>
      <c r="BB18" s="215" t="s">
        <v>588</v>
      </c>
      <c r="BC18" s="217" t="str">
        <f t="shared" si="18"/>
        <v>YES</v>
      </c>
      <c r="BD18" s="218">
        <v>0</v>
      </c>
      <c r="BE18" s="215" t="s">
        <v>588</v>
      </c>
      <c r="BF18" s="217" t="str">
        <f t="shared" si="19"/>
        <v>YES</v>
      </c>
      <c r="BG18" s="215" t="s">
        <v>588</v>
      </c>
      <c r="BH18" s="215" t="s">
        <v>588</v>
      </c>
      <c r="BI18" s="217" t="str">
        <f t="shared" si="20"/>
        <v>YES</v>
      </c>
      <c r="BJ18" s="218">
        <v>0</v>
      </c>
      <c r="BK18" s="215" t="s">
        <v>588</v>
      </c>
      <c r="BL18" s="217" t="str">
        <f t="shared" si="21"/>
        <v>YES</v>
      </c>
      <c r="BM18" s="218">
        <v>0</v>
      </c>
      <c r="BN18" s="215" t="s">
        <v>588</v>
      </c>
      <c r="BO18" s="217" t="str">
        <f t="shared" si="22"/>
        <v>YES</v>
      </c>
      <c r="BP18" s="218" t="s">
        <v>588</v>
      </c>
      <c r="BQ18" s="215" t="s">
        <v>588</v>
      </c>
      <c r="BR18" s="217" t="str">
        <f t="shared" si="23"/>
        <v>YES</v>
      </c>
      <c r="BS18" s="218" t="s">
        <v>588</v>
      </c>
      <c r="BT18" s="215" t="s">
        <v>588</v>
      </c>
      <c r="BU18" s="217" t="str">
        <f t="shared" si="24"/>
        <v>YES</v>
      </c>
      <c r="BV18" s="218" t="s">
        <v>588</v>
      </c>
      <c r="BW18" s="215" t="s">
        <v>588</v>
      </c>
      <c r="BX18" s="217" t="str">
        <f t="shared" si="25"/>
        <v>YES</v>
      </c>
      <c r="BY18" s="218" t="s">
        <v>588</v>
      </c>
      <c r="BZ18" s="215" t="s">
        <v>588</v>
      </c>
      <c r="CA18" s="217" t="str">
        <f t="shared" si="26"/>
        <v>YES</v>
      </c>
      <c r="CB18" s="218" t="s">
        <v>588</v>
      </c>
      <c r="CC18" s="215" t="s">
        <v>588</v>
      </c>
      <c r="CD18" s="217" t="str">
        <f t="shared" si="27"/>
        <v>YES</v>
      </c>
      <c r="CE18" s="218" t="s">
        <v>588</v>
      </c>
      <c r="CF18" s="215" t="s">
        <v>588</v>
      </c>
      <c r="CG18" s="217" t="str">
        <f t="shared" si="28"/>
        <v>YES</v>
      </c>
    </row>
    <row r="19" spans="1:85" ht="16" x14ac:dyDescent="0.2">
      <c r="A19" s="215" t="s">
        <v>564</v>
      </c>
      <c r="B19" s="215">
        <v>0</v>
      </c>
      <c r="C19" s="214" t="s">
        <v>588</v>
      </c>
      <c r="D19" s="217" t="str">
        <f t="shared" si="2"/>
        <v>YES</v>
      </c>
      <c r="E19" s="218">
        <v>0</v>
      </c>
      <c r="F19" s="215" t="s">
        <v>588</v>
      </c>
      <c r="G19" s="217" t="str">
        <f t="shared" si="3"/>
        <v>YES</v>
      </c>
      <c r="H19" s="218">
        <v>0</v>
      </c>
      <c r="I19" s="215" t="s">
        <v>588</v>
      </c>
      <c r="J19" s="217" t="str">
        <f t="shared" si="4"/>
        <v>YES</v>
      </c>
      <c r="K19" s="219">
        <v>0</v>
      </c>
      <c r="L19" s="215" t="s">
        <v>588</v>
      </c>
      <c r="M19" s="217" t="str">
        <f t="shared" si="5"/>
        <v>YES</v>
      </c>
      <c r="N19" s="218">
        <v>0</v>
      </c>
      <c r="O19" s="215" t="s">
        <v>588</v>
      </c>
      <c r="P19" s="217" t="str">
        <f t="shared" si="6"/>
        <v>YES</v>
      </c>
      <c r="Q19" s="219" t="s">
        <v>565</v>
      </c>
      <c r="R19" s="214" t="s">
        <v>599</v>
      </c>
      <c r="S19" s="217" t="s">
        <v>541</v>
      </c>
      <c r="T19" s="218">
        <v>0</v>
      </c>
      <c r="U19" s="215" t="s">
        <v>588</v>
      </c>
      <c r="V19" s="217" t="str">
        <f t="shared" si="7"/>
        <v>YES</v>
      </c>
      <c r="W19" s="218">
        <v>0</v>
      </c>
      <c r="X19" s="215" t="s">
        <v>588</v>
      </c>
      <c r="Y19" s="217" t="str">
        <f t="shared" si="8"/>
        <v>YES</v>
      </c>
      <c r="Z19" s="218">
        <v>0</v>
      </c>
      <c r="AA19" s="215" t="s">
        <v>588</v>
      </c>
      <c r="AB19" s="217" t="str">
        <f t="shared" si="9"/>
        <v>YES</v>
      </c>
      <c r="AC19" s="218">
        <v>0</v>
      </c>
      <c r="AD19" s="215" t="s">
        <v>588</v>
      </c>
      <c r="AE19" s="217" t="str">
        <f t="shared" si="10"/>
        <v>YES</v>
      </c>
      <c r="AF19" s="218" t="s">
        <v>588</v>
      </c>
      <c r="AG19" s="215" t="s">
        <v>588</v>
      </c>
      <c r="AH19" s="217" t="str">
        <f t="shared" si="11"/>
        <v>YES</v>
      </c>
      <c r="AI19" s="218" t="s">
        <v>588</v>
      </c>
      <c r="AJ19" s="215" t="s">
        <v>588</v>
      </c>
      <c r="AK19" s="217" t="str">
        <f t="shared" si="12"/>
        <v>YES</v>
      </c>
      <c r="AL19" s="218">
        <v>0</v>
      </c>
      <c r="AM19" s="215" t="s">
        <v>588</v>
      </c>
      <c r="AN19" s="217" t="str">
        <f t="shared" si="13"/>
        <v>YES</v>
      </c>
      <c r="AO19" s="218">
        <v>0</v>
      </c>
      <c r="AP19" s="215" t="s">
        <v>588</v>
      </c>
      <c r="AQ19" s="217" t="str">
        <f t="shared" si="14"/>
        <v>YES</v>
      </c>
      <c r="AR19" s="218">
        <v>0</v>
      </c>
      <c r="AS19" s="215" t="s">
        <v>588</v>
      </c>
      <c r="AT19" s="217" t="str">
        <f t="shared" si="15"/>
        <v>YES</v>
      </c>
      <c r="AU19" s="218">
        <v>0</v>
      </c>
      <c r="AV19" s="215" t="s">
        <v>588</v>
      </c>
      <c r="AW19" s="217" t="str">
        <f t="shared" si="16"/>
        <v>YES</v>
      </c>
      <c r="AX19" s="218">
        <v>0</v>
      </c>
      <c r="AY19" s="215" t="s">
        <v>588</v>
      </c>
      <c r="AZ19" s="217" t="str">
        <f t="shared" si="17"/>
        <v>YES</v>
      </c>
      <c r="BA19" s="218">
        <v>0</v>
      </c>
      <c r="BB19" s="215" t="s">
        <v>588</v>
      </c>
      <c r="BC19" s="217" t="str">
        <f t="shared" si="18"/>
        <v>YES</v>
      </c>
      <c r="BD19" s="218">
        <v>0</v>
      </c>
      <c r="BE19" s="215" t="s">
        <v>588</v>
      </c>
      <c r="BF19" s="217" t="str">
        <f t="shared" si="19"/>
        <v>YES</v>
      </c>
      <c r="BG19" s="215" t="s">
        <v>588</v>
      </c>
      <c r="BH19" s="215" t="s">
        <v>588</v>
      </c>
      <c r="BI19" s="217" t="str">
        <f t="shared" si="20"/>
        <v>YES</v>
      </c>
      <c r="BJ19" s="218">
        <v>0</v>
      </c>
      <c r="BK19" s="215" t="s">
        <v>588</v>
      </c>
      <c r="BL19" s="217" t="str">
        <f t="shared" si="21"/>
        <v>YES</v>
      </c>
      <c r="BM19" s="218">
        <v>0</v>
      </c>
      <c r="BN19" s="215" t="s">
        <v>588</v>
      </c>
      <c r="BO19" s="217" t="str">
        <f t="shared" si="22"/>
        <v>YES</v>
      </c>
      <c r="BP19" s="218" t="s">
        <v>588</v>
      </c>
      <c r="BQ19" s="215" t="s">
        <v>588</v>
      </c>
      <c r="BR19" s="217" t="str">
        <f t="shared" si="23"/>
        <v>YES</v>
      </c>
      <c r="BS19" s="218" t="s">
        <v>588</v>
      </c>
      <c r="BT19" s="215" t="s">
        <v>588</v>
      </c>
      <c r="BU19" s="217" t="str">
        <f t="shared" si="24"/>
        <v>YES</v>
      </c>
      <c r="BV19" s="218" t="s">
        <v>588</v>
      </c>
      <c r="BW19" s="215" t="s">
        <v>588</v>
      </c>
      <c r="BX19" s="217" t="str">
        <f t="shared" si="25"/>
        <v>YES</v>
      </c>
      <c r="BY19" s="218" t="s">
        <v>588</v>
      </c>
      <c r="BZ19" s="215" t="s">
        <v>588</v>
      </c>
      <c r="CA19" s="217" t="str">
        <f t="shared" si="26"/>
        <v>YES</v>
      </c>
      <c r="CB19" s="218" t="s">
        <v>588</v>
      </c>
      <c r="CC19" s="215" t="s">
        <v>588</v>
      </c>
      <c r="CD19" s="217" t="str">
        <f t="shared" si="27"/>
        <v>YES</v>
      </c>
      <c r="CE19" s="218" t="s">
        <v>588</v>
      </c>
      <c r="CF19" s="215" t="s">
        <v>588</v>
      </c>
      <c r="CG19" s="217" t="str">
        <f t="shared" si="28"/>
        <v>YES</v>
      </c>
    </row>
    <row r="20" spans="1:85" ht="144" x14ac:dyDescent="0.2">
      <c r="A20" s="215" t="s">
        <v>566</v>
      </c>
      <c r="B20" s="215">
        <v>0</v>
      </c>
      <c r="C20" s="214" t="s">
        <v>588</v>
      </c>
      <c r="D20" s="217" t="str">
        <f t="shared" si="2"/>
        <v>YES</v>
      </c>
      <c r="E20" s="218">
        <v>0</v>
      </c>
      <c r="F20" s="215" t="s">
        <v>588</v>
      </c>
      <c r="G20" s="217" t="str">
        <f t="shared" si="3"/>
        <v>YES</v>
      </c>
      <c r="H20" s="218">
        <v>0</v>
      </c>
      <c r="I20" s="215" t="s">
        <v>588</v>
      </c>
      <c r="J20" s="217" t="str">
        <f t="shared" si="4"/>
        <v>YES</v>
      </c>
      <c r="K20" s="219">
        <v>0</v>
      </c>
      <c r="L20" s="215" t="s">
        <v>588</v>
      </c>
      <c r="M20" s="217" t="str">
        <f t="shared" si="5"/>
        <v>YES</v>
      </c>
      <c r="N20" s="218">
        <v>0</v>
      </c>
      <c r="O20" s="215" t="s">
        <v>588</v>
      </c>
      <c r="P20" s="217" t="str">
        <f t="shared" si="6"/>
        <v>YES</v>
      </c>
      <c r="Q20" s="219" t="s">
        <v>567</v>
      </c>
      <c r="R20" s="214" t="s">
        <v>600</v>
      </c>
      <c r="S20" s="217" t="s">
        <v>541</v>
      </c>
      <c r="T20" s="218">
        <v>0</v>
      </c>
      <c r="U20" s="215" t="s">
        <v>588</v>
      </c>
      <c r="V20" s="217" t="str">
        <f t="shared" si="7"/>
        <v>YES</v>
      </c>
      <c r="W20" s="218">
        <v>0</v>
      </c>
      <c r="X20" s="215" t="s">
        <v>588</v>
      </c>
      <c r="Y20" s="217" t="str">
        <f t="shared" si="8"/>
        <v>YES</v>
      </c>
      <c r="Z20" s="218">
        <v>0</v>
      </c>
      <c r="AA20" s="215" t="s">
        <v>588</v>
      </c>
      <c r="AB20" s="217" t="str">
        <f t="shared" si="9"/>
        <v>YES</v>
      </c>
      <c r="AC20" s="218">
        <v>0</v>
      </c>
      <c r="AD20" s="215" t="s">
        <v>588</v>
      </c>
      <c r="AE20" s="217" t="str">
        <f t="shared" si="10"/>
        <v>YES</v>
      </c>
      <c r="AF20" s="218" t="s">
        <v>588</v>
      </c>
      <c r="AG20" s="215" t="s">
        <v>588</v>
      </c>
      <c r="AH20" s="217" t="str">
        <f t="shared" si="11"/>
        <v>YES</v>
      </c>
      <c r="AI20" s="218" t="s">
        <v>588</v>
      </c>
      <c r="AJ20" s="215" t="s">
        <v>588</v>
      </c>
      <c r="AK20" s="217" t="str">
        <f t="shared" si="12"/>
        <v>YES</v>
      </c>
      <c r="AL20" s="218">
        <v>0</v>
      </c>
      <c r="AM20" s="215" t="s">
        <v>588</v>
      </c>
      <c r="AN20" s="217" t="str">
        <f t="shared" si="13"/>
        <v>YES</v>
      </c>
      <c r="AO20" s="218">
        <v>0</v>
      </c>
      <c r="AP20" s="215" t="s">
        <v>588</v>
      </c>
      <c r="AQ20" s="217" t="str">
        <f t="shared" si="14"/>
        <v>YES</v>
      </c>
      <c r="AR20" s="218">
        <v>0</v>
      </c>
      <c r="AS20" s="215" t="s">
        <v>588</v>
      </c>
      <c r="AT20" s="217" t="str">
        <f t="shared" si="15"/>
        <v>YES</v>
      </c>
      <c r="AU20" s="218">
        <v>0</v>
      </c>
      <c r="AV20" s="215" t="s">
        <v>588</v>
      </c>
      <c r="AW20" s="217" t="str">
        <f t="shared" si="16"/>
        <v>YES</v>
      </c>
      <c r="AX20" s="218">
        <v>0</v>
      </c>
      <c r="AY20" s="215" t="s">
        <v>588</v>
      </c>
      <c r="AZ20" s="217" t="str">
        <f t="shared" si="17"/>
        <v>YES</v>
      </c>
      <c r="BA20" s="218">
        <v>0</v>
      </c>
      <c r="BB20" s="215" t="s">
        <v>588</v>
      </c>
      <c r="BC20" s="217" t="str">
        <f t="shared" si="18"/>
        <v>YES</v>
      </c>
      <c r="BD20" s="218">
        <v>0</v>
      </c>
      <c r="BE20" s="215" t="s">
        <v>588</v>
      </c>
      <c r="BF20" s="217" t="str">
        <f t="shared" si="19"/>
        <v>YES</v>
      </c>
      <c r="BG20" s="215" t="s">
        <v>588</v>
      </c>
      <c r="BH20" s="215" t="s">
        <v>588</v>
      </c>
      <c r="BI20" s="217" t="str">
        <f t="shared" si="20"/>
        <v>YES</v>
      </c>
      <c r="BJ20" s="218">
        <v>0</v>
      </c>
      <c r="BK20" s="215" t="s">
        <v>588</v>
      </c>
      <c r="BL20" s="217" t="str">
        <f t="shared" si="21"/>
        <v>YES</v>
      </c>
      <c r="BM20" s="218">
        <v>0</v>
      </c>
      <c r="BN20" s="215" t="s">
        <v>588</v>
      </c>
      <c r="BO20" s="217" t="str">
        <f t="shared" si="22"/>
        <v>YES</v>
      </c>
      <c r="BP20" s="218" t="s">
        <v>588</v>
      </c>
      <c r="BQ20" s="215" t="s">
        <v>588</v>
      </c>
      <c r="BR20" s="217" t="str">
        <f t="shared" si="23"/>
        <v>YES</v>
      </c>
      <c r="BS20" s="218" t="s">
        <v>588</v>
      </c>
      <c r="BT20" s="215" t="s">
        <v>588</v>
      </c>
      <c r="BU20" s="217" t="str">
        <f t="shared" si="24"/>
        <v>YES</v>
      </c>
      <c r="BV20" s="218" t="s">
        <v>588</v>
      </c>
      <c r="BW20" s="215" t="s">
        <v>588</v>
      </c>
      <c r="BX20" s="217" t="str">
        <f t="shared" si="25"/>
        <v>YES</v>
      </c>
      <c r="BY20" s="218" t="s">
        <v>588</v>
      </c>
      <c r="BZ20" s="215" t="s">
        <v>588</v>
      </c>
      <c r="CA20" s="217" t="str">
        <f t="shared" si="26"/>
        <v>YES</v>
      </c>
      <c r="CB20" s="218" t="s">
        <v>588</v>
      </c>
      <c r="CC20" s="215" t="s">
        <v>588</v>
      </c>
      <c r="CD20" s="217" t="str">
        <f t="shared" si="27"/>
        <v>YES</v>
      </c>
      <c r="CE20" s="218" t="s">
        <v>588</v>
      </c>
      <c r="CF20" s="215" t="s">
        <v>588</v>
      </c>
      <c r="CG20" s="217" t="str">
        <f t="shared" si="28"/>
        <v>YES</v>
      </c>
    </row>
    <row r="21" spans="1:85" ht="16" x14ac:dyDescent="0.2">
      <c r="A21" s="215" t="s">
        <v>568</v>
      </c>
      <c r="B21" s="215">
        <v>0</v>
      </c>
      <c r="C21" s="214" t="s">
        <v>588</v>
      </c>
      <c r="D21" s="217" t="str">
        <f t="shared" si="2"/>
        <v>YES</v>
      </c>
      <c r="E21" s="218">
        <v>0</v>
      </c>
      <c r="F21" s="215" t="s">
        <v>588</v>
      </c>
      <c r="G21" s="217" t="str">
        <f t="shared" si="3"/>
        <v>YES</v>
      </c>
      <c r="H21" s="218">
        <v>0</v>
      </c>
      <c r="I21" s="215" t="s">
        <v>588</v>
      </c>
      <c r="J21" s="217" t="str">
        <f t="shared" si="4"/>
        <v>YES</v>
      </c>
      <c r="K21" s="219">
        <v>0</v>
      </c>
      <c r="L21" s="215" t="s">
        <v>588</v>
      </c>
      <c r="M21" s="217" t="str">
        <f t="shared" si="5"/>
        <v>YES</v>
      </c>
      <c r="N21" s="218">
        <v>0</v>
      </c>
      <c r="O21" s="215" t="s">
        <v>588</v>
      </c>
      <c r="P21" s="217" t="str">
        <f t="shared" si="6"/>
        <v>YES</v>
      </c>
      <c r="Q21" s="214" t="s">
        <v>588</v>
      </c>
      <c r="R21" s="214" t="s">
        <v>588</v>
      </c>
      <c r="S21" s="217" t="str">
        <f t="shared" si="29"/>
        <v>YES</v>
      </c>
      <c r="T21" s="218">
        <v>0</v>
      </c>
      <c r="U21" s="215" t="s">
        <v>588</v>
      </c>
      <c r="V21" s="217" t="str">
        <f t="shared" si="7"/>
        <v>YES</v>
      </c>
      <c r="W21" s="218">
        <v>0</v>
      </c>
      <c r="X21" s="215" t="s">
        <v>588</v>
      </c>
      <c r="Y21" s="217" t="str">
        <f t="shared" si="8"/>
        <v>YES</v>
      </c>
      <c r="Z21" s="218">
        <v>0</v>
      </c>
      <c r="AA21" s="215" t="s">
        <v>588</v>
      </c>
      <c r="AB21" s="217" t="str">
        <f t="shared" si="9"/>
        <v>YES</v>
      </c>
      <c r="AC21" s="218">
        <v>0</v>
      </c>
      <c r="AD21" s="215" t="s">
        <v>588</v>
      </c>
      <c r="AE21" s="217" t="str">
        <f t="shared" si="10"/>
        <v>YES</v>
      </c>
      <c r="AF21" s="218" t="s">
        <v>588</v>
      </c>
      <c r="AG21" s="215" t="s">
        <v>588</v>
      </c>
      <c r="AH21" s="217" t="str">
        <f t="shared" si="11"/>
        <v>YES</v>
      </c>
      <c r="AI21" s="218" t="s">
        <v>588</v>
      </c>
      <c r="AJ21" s="215" t="s">
        <v>588</v>
      </c>
      <c r="AK21" s="217" t="str">
        <f t="shared" si="12"/>
        <v>YES</v>
      </c>
      <c r="AL21" s="218">
        <v>0</v>
      </c>
      <c r="AM21" s="215" t="s">
        <v>588</v>
      </c>
      <c r="AN21" s="217" t="str">
        <f t="shared" si="13"/>
        <v>YES</v>
      </c>
      <c r="AO21" s="218">
        <v>0</v>
      </c>
      <c r="AP21" s="215" t="s">
        <v>588</v>
      </c>
      <c r="AQ21" s="217" t="str">
        <f t="shared" si="14"/>
        <v>YES</v>
      </c>
      <c r="AR21" s="218" t="s">
        <v>607</v>
      </c>
      <c r="AS21" s="215" t="s">
        <v>601</v>
      </c>
      <c r="AT21" s="217" t="str">
        <f t="shared" si="15"/>
        <v>MANUAL_ASSESS</v>
      </c>
      <c r="AU21" s="218">
        <v>0</v>
      </c>
      <c r="AV21" s="215" t="s">
        <v>588</v>
      </c>
      <c r="AW21" s="217" t="str">
        <f t="shared" si="16"/>
        <v>YES</v>
      </c>
      <c r="AX21" s="218">
        <v>0</v>
      </c>
      <c r="AY21" s="215" t="s">
        <v>588</v>
      </c>
      <c r="AZ21" s="217" t="str">
        <f t="shared" si="17"/>
        <v>YES</v>
      </c>
      <c r="BA21" s="218">
        <v>0</v>
      </c>
      <c r="BB21" s="215" t="s">
        <v>588</v>
      </c>
      <c r="BC21" s="217" t="str">
        <f t="shared" si="18"/>
        <v>YES</v>
      </c>
      <c r="BD21" s="218">
        <v>0</v>
      </c>
      <c r="BE21" s="215" t="s">
        <v>588</v>
      </c>
      <c r="BF21" s="217" t="str">
        <f t="shared" si="19"/>
        <v>YES</v>
      </c>
      <c r="BG21" s="215" t="s">
        <v>588</v>
      </c>
      <c r="BH21" s="215" t="s">
        <v>588</v>
      </c>
      <c r="BI21" s="217" t="str">
        <f t="shared" si="20"/>
        <v>YES</v>
      </c>
      <c r="BJ21" s="218">
        <v>0</v>
      </c>
      <c r="BK21" s="215" t="s">
        <v>588</v>
      </c>
      <c r="BL21" s="217" t="str">
        <f t="shared" si="21"/>
        <v>YES</v>
      </c>
      <c r="BM21" s="218">
        <v>0</v>
      </c>
      <c r="BN21" s="215" t="s">
        <v>588</v>
      </c>
      <c r="BO21" s="217" t="str">
        <f t="shared" si="22"/>
        <v>YES</v>
      </c>
      <c r="BP21" s="218" t="s">
        <v>588</v>
      </c>
      <c r="BQ21" s="215" t="s">
        <v>588</v>
      </c>
      <c r="BR21" s="217" t="str">
        <f t="shared" si="23"/>
        <v>YES</v>
      </c>
      <c r="BS21" s="218" t="s">
        <v>588</v>
      </c>
      <c r="BT21" s="215" t="s">
        <v>588</v>
      </c>
      <c r="BU21" s="217" t="str">
        <f t="shared" si="24"/>
        <v>YES</v>
      </c>
      <c r="BV21" s="218" t="s">
        <v>588</v>
      </c>
      <c r="BW21" s="215" t="s">
        <v>588</v>
      </c>
      <c r="BX21" s="217" t="str">
        <f t="shared" si="25"/>
        <v>YES</v>
      </c>
      <c r="BY21" s="218" t="s">
        <v>588</v>
      </c>
      <c r="BZ21" s="215" t="s">
        <v>588</v>
      </c>
      <c r="CA21" s="217" t="str">
        <f t="shared" si="26"/>
        <v>YES</v>
      </c>
      <c r="CB21" s="218" t="s">
        <v>588</v>
      </c>
      <c r="CC21" s="215" t="s">
        <v>588</v>
      </c>
      <c r="CD21" s="217" t="str">
        <f t="shared" si="27"/>
        <v>YES</v>
      </c>
      <c r="CE21" s="218" t="s">
        <v>588</v>
      </c>
      <c r="CF21" s="215" t="s">
        <v>588</v>
      </c>
      <c r="CG21" s="217" t="str">
        <f t="shared" si="28"/>
        <v>YES</v>
      </c>
    </row>
    <row r="22" spans="1:85" ht="16" x14ac:dyDescent="0.2">
      <c r="A22" s="215" t="s">
        <v>569</v>
      </c>
      <c r="B22" s="215">
        <v>0</v>
      </c>
      <c r="C22" s="214" t="s">
        <v>588</v>
      </c>
      <c r="D22" s="217" t="str">
        <f t="shared" si="2"/>
        <v>YES</v>
      </c>
      <c r="E22" s="218">
        <v>0</v>
      </c>
      <c r="F22" s="215" t="s">
        <v>588</v>
      </c>
      <c r="G22" s="217" t="str">
        <f t="shared" si="3"/>
        <v>YES</v>
      </c>
      <c r="H22" s="218">
        <v>0</v>
      </c>
      <c r="I22" s="215" t="s">
        <v>588</v>
      </c>
      <c r="J22" s="217" t="str">
        <f t="shared" si="4"/>
        <v>YES</v>
      </c>
      <c r="K22" s="219">
        <v>0</v>
      </c>
      <c r="L22" s="215" t="s">
        <v>588</v>
      </c>
      <c r="M22" s="217" t="str">
        <f t="shared" si="5"/>
        <v>YES</v>
      </c>
      <c r="N22" s="218">
        <v>0</v>
      </c>
      <c r="O22" s="215" t="s">
        <v>588</v>
      </c>
      <c r="P22" s="217" t="str">
        <f t="shared" si="6"/>
        <v>YES</v>
      </c>
      <c r="Q22" s="214" t="s">
        <v>588</v>
      </c>
      <c r="R22" s="214" t="s">
        <v>588</v>
      </c>
      <c r="S22" s="217" t="str">
        <f t="shared" si="29"/>
        <v>YES</v>
      </c>
      <c r="T22" s="218">
        <v>0</v>
      </c>
      <c r="U22" s="215" t="s">
        <v>588</v>
      </c>
      <c r="V22" s="217" t="str">
        <f t="shared" si="7"/>
        <v>YES</v>
      </c>
      <c r="W22" s="218">
        <v>0</v>
      </c>
      <c r="X22" s="215" t="s">
        <v>588</v>
      </c>
      <c r="Y22" s="217" t="str">
        <f t="shared" si="8"/>
        <v>YES</v>
      </c>
      <c r="Z22" s="218">
        <v>0</v>
      </c>
      <c r="AA22" s="215" t="s">
        <v>588</v>
      </c>
      <c r="AB22" s="217" t="str">
        <f t="shared" si="9"/>
        <v>YES</v>
      </c>
      <c r="AC22" s="218">
        <v>0</v>
      </c>
      <c r="AD22" s="215" t="s">
        <v>588</v>
      </c>
      <c r="AE22" s="217" t="str">
        <f t="shared" si="10"/>
        <v>YES</v>
      </c>
      <c r="AF22" s="218" t="s">
        <v>588</v>
      </c>
      <c r="AG22" s="215" t="s">
        <v>588</v>
      </c>
      <c r="AH22" s="217" t="str">
        <f t="shared" si="11"/>
        <v>YES</v>
      </c>
      <c r="AI22" s="218" t="s">
        <v>588</v>
      </c>
      <c r="AJ22" s="215" t="s">
        <v>588</v>
      </c>
      <c r="AK22" s="217" t="str">
        <f t="shared" si="12"/>
        <v>YES</v>
      </c>
      <c r="AL22" s="218">
        <v>0</v>
      </c>
      <c r="AM22" s="215" t="s">
        <v>588</v>
      </c>
      <c r="AN22" s="217" t="str">
        <f t="shared" si="13"/>
        <v>YES</v>
      </c>
      <c r="AO22" s="218">
        <v>0</v>
      </c>
      <c r="AP22" s="215" t="s">
        <v>588</v>
      </c>
      <c r="AQ22" s="217" t="str">
        <f t="shared" si="14"/>
        <v>YES</v>
      </c>
      <c r="AR22" s="218">
        <v>0</v>
      </c>
      <c r="AS22" s="215" t="s">
        <v>588</v>
      </c>
      <c r="AT22" s="217" t="str">
        <f t="shared" si="15"/>
        <v>YES</v>
      </c>
      <c r="AU22" s="218">
        <v>0</v>
      </c>
      <c r="AV22" s="215" t="s">
        <v>588</v>
      </c>
      <c r="AW22" s="217" t="str">
        <f t="shared" si="16"/>
        <v>YES</v>
      </c>
      <c r="AX22" s="218">
        <v>0</v>
      </c>
      <c r="AY22" s="215" t="s">
        <v>588</v>
      </c>
      <c r="AZ22" s="217" t="str">
        <f t="shared" si="17"/>
        <v>YES</v>
      </c>
      <c r="BA22" s="218">
        <v>0</v>
      </c>
      <c r="BB22" s="215" t="s">
        <v>588</v>
      </c>
      <c r="BC22" s="217" t="str">
        <f t="shared" si="18"/>
        <v>YES</v>
      </c>
      <c r="BD22" s="218">
        <v>0</v>
      </c>
      <c r="BE22" s="215" t="s">
        <v>588</v>
      </c>
      <c r="BF22" s="217" t="str">
        <f t="shared" si="19"/>
        <v>YES</v>
      </c>
      <c r="BG22" s="215" t="s">
        <v>588</v>
      </c>
      <c r="BH22" s="215" t="s">
        <v>588</v>
      </c>
      <c r="BI22" s="217" t="str">
        <f t="shared" si="20"/>
        <v>YES</v>
      </c>
      <c r="BJ22" s="218">
        <v>0</v>
      </c>
      <c r="BK22" s="215" t="s">
        <v>588</v>
      </c>
      <c r="BL22" s="217" t="str">
        <f t="shared" si="21"/>
        <v>YES</v>
      </c>
      <c r="BM22" s="218">
        <v>0</v>
      </c>
      <c r="BN22" s="215" t="s">
        <v>588</v>
      </c>
      <c r="BO22" s="217" t="str">
        <f t="shared" si="22"/>
        <v>YES</v>
      </c>
      <c r="BP22" s="218" t="s">
        <v>588</v>
      </c>
      <c r="BQ22" s="215" t="s">
        <v>588</v>
      </c>
      <c r="BR22" s="217" t="str">
        <f t="shared" si="23"/>
        <v>YES</v>
      </c>
      <c r="BS22" s="218" t="s">
        <v>588</v>
      </c>
      <c r="BT22" s="215" t="s">
        <v>588</v>
      </c>
      <c r="BU22" s="217" t="str">
        <f t="shared" si="24"/>
        <v>YES</v>
      </c>
      <c r="BV22" s="218" t="s">
        <v>588</v>
      </c>
      <c r="BW22" s="215" t="s">
        <v>588</v>
      </c>
      <c r="BX22" s="217" t="str">
        <f t="shared" si="25"/>
        <v>YES</v>
      </c>
      <c r="BY22" s="218" t="s">
        <v>588</v>
      </c>
      <c r="BZ22" s="215" t="s">
        <v>588</v>
      </c>
      <c r="CA22" s="217" t="str">
        <f t="shared" si="26"/>
        <v>YES</v>
      </c>
      <c r="CB22" s="218" t="s">
        <v>588</v>
      </c>
      <c r="CC22" s="215" t="s">
        <v>588</v>
      </c>
      <c r="CD22" s="217" t="str">
        <f t="shared" si="27"/>
        <v>YES</v>
      </c>
      <c r="CE22" s="218" t="s">
        <v>588</v>
      </c>
      <c r="CF22" s="215" t="s">
        <v>588</v>
      </c>
      <c r="CG22" s="217" t="str">
        <f t="shared" si="28"/>
        <v>YES</v>
      </c>
    </row>
    <row r="23" spans="1:85" ht="16" x14ac:dyDescent="0.2">
      <c r="A23" s="215" t="s">
        <v>571</v>
      </c>
      <c r="B23" s="215">
        <v>0</v>
      </c>
      <c r="C23" s="214" t="s">
        <v>588</v>
      </c>
      <c r="D23" s="217" t="str">
        <f t="shared" si="2"/>
        <v>YES</v>
      </c>
      <c r="E23" s="218">
        <v>0</v>
      </c>
      <c r="F23" s="215" t="s">
        <v>588</v>
      </c>
      <c r="G23" s="217" t="str">
        <f t="shared" si="3"/>
        <v>YES</v>
      </c>
      <c r="H23" s="218">
        <v>0</v>
      </c>
      <c r="I23" s="215" t="s">
        <v>588</v>
      </c>
      <c r="J23" s="217" t="str">
        <f t="shared" si="4"/>
        <v>YES</v>
      </c>
      <c r="K23" s="219">
        <v>0</v>
      </c>
      <c r="L23" s="215" t="s">
        <v>588</v>
      </c>
      <c r="M23" s="217" t="str">
        <f t="shared" si="5"/>
        <v>YES</v>
      </c>
      <c r="N23" s="218">
        <v>0</v>
      </c>
      <c r="O23" s="215" t="s">
        <v>588</v>
      </c>
      <c r="P23" s="217" t="str">
        <f t="shared" si="6"/>
        <v>YES</v>
      </c>
      <c r="Q23" s="214" t="s">
        <v>588</v>
      </c>
      <c r="R23" s="214" t="s">
        <v>588</v>
      </c>
      <c r="S23" s="217" t="str">
        <f t="shared" si="29"/>
        <v>YES</v>
      </c>
      <c r="T23" s="218">
        <v>0</v>
      </c>
      <c r="U23" s="215" t="s">
        <v>588</v>
      </c>
      <c r="V23" s="217" t="str">
        <f t="shared" si="7"/>
        <v>YES</v>
      </c>
      <c r="W23" s="218">
        <v>0</v>
      </c>
      <c r="X23" s="215" t="s">
        <v>588</v>
      </c>
      <c r="Y23" s="217" t="str">
        <f t="shared" si="8"/>
        <v>YES</v>
      </c>
      <c r="Z23" s="218">
        <v>0</v>
      </c>
      <c r="AA23" s="215" t="s">
        <v>588</v>
      </c>
      <c r="AB23" s="217" t="str">
        <f t="shared" si="9"/>
        <v>YES</v>
      </c>
      <c r="AC23" s="218">
        <v>0</v>
      </c>
      <c r="AD23" s="215" t="s">
        <v>588</v>
      </c>
      <c r="AE23" s="217" t="str">
        <f t="shared" si="10"/>
        <v>YES</v>
      </c>
      <c r="AF23" s="218" t="s">
        <v>588</v>
      </c>
      <c r="AG23" s="215" t="s">
        <v>588</v>
      </c>
      <c r="AH23" s="217" t="str">
        <f t="shared" si="11"/>
        <v>YES</v>
      </c>
      <c r="AI23" s="218" t="s">
        <v>588</v>
      </c>
      <c r="AJ23" s="215" t="s">
        <v>588</v>
      </c>
      <c r="AK23" s="217" t="str">
        <f t="shared" si="12"/>
        <v>YES</v>
      </c>
      <c r="AL23" s="218">
        <v>0</v>
      </c>
      <c r="AM23" s="215" t="s">
        <v>588</v>
      </c>
      <c r="AN23" s="217" t="str">
        <f t="shared" si="13"/>
        <v>YES</v>
      </c>
      <c r="AO23" s="218">
        <v>0</v>
      </c>
      <c r="AP23" s="215" t="s">
        <v>588</v>
      </c>
      <c r="AQ23" s="217" t="str">
        <f t="shared" si="14"/>
        <v>YES</v>
      </c>
      <c r="AR23" s="218">
        <v>0</v>
      </c>
      <c r="AS23" s="215" t="s">
        <v>588</v>
      </c>
      <c r="AT23" s="217" t="str">
        <f t="shared" si="15"/>
        <v>YES</v>
      </c>
      <c r="AU23" s="218">
        <v>0</v>
      </c>
      <c r="AV23" s="215" t="s">
        <v>588</v>
      </c>
      <c r="AW23" s="217" t="str">
        <f t="shared" si="16"/>
        <v>YES</v>
      </c>
      <c r="AX23" s="218">
        <v>0</v>
      </c>
      <c r="AY23" s="215" t="s">
        <v>588</v>
      </c>
      <c r="AZ23" s="217" t="str">
        <f t="shared" si="17"/>
        <v>YES</v>
      </c>
      <c r="BA23" s="218">
        <v>0</v>
      </c>
      <c r="BB23" s="215" t="s">
        <v>588</v>
      </c>
      <c r="BC23" s="217" t="str">
        <f t="shared" si="18"/>
        <v>YES</v>
      </c>
      <c r="BD23" s="218">
        <v>0</v>
      </c>
      <c r="BE23" s="215" t="s">
        <v>588</v>
      </c>
      <c r="BF23" s="217" t="str">
        <f t="shared" si="19"/>
        <v>YES</v>
      </c>
      <c r="BG23" s="215" t="s">
        <v>588</v>
      </c>
      <c r="BH23" s="215" t="s">
        <v>588</v>
      </c>
      <c r="BI23" s="217" t="str">
        <f t="shared" si="20"/>
        <v>YES</v>
      </c>
      <c r="BJ23" s="218">
        <v>0</v>
      </c>
      <c r="BK23" s="215" t="s">
        <v>588</v>
      </c>
      <c r="BL23" s="217" t="str">
        <f t="shared" si="21"/>
        <v>YES</v>
      </c>
      <c r="BM23" s="218">
        <v>0</v>
      </c>
      <c r="BN23" s="215" t="s">
        <v>588</v>
      </c>
      <c r="BO23" s="217" t="str">
        <f t="shared" si="22"/>
        <v>YES</v>
      </c>
      <c r="BP23" s="218" t="s">
        <v>588</v>
      </c>
      <c r="BQ23" s="215" t="s">
        <v>588</v>
      </c>
      <c r="BR23" s="217" t="str">
        <f t="shared" si="23"/>
        <v>YES</v>
      </c>
      <c r="BS23" s="218" t="s">
        <v>588</v>
      </c>
      <c r="BT23" s="215" t="s">
        <v>588</v>
      </c>
      <c r="BU23" s="217" t="str">
        <f t="shared" si="24"/>
        <v>YES</v>
      </c>
      <c r="BV23" s="218" t="s">
        <v>588</v>
      </c>
      <c r="BW23" s="215" t="s">
        <v>588</v>
      </c>
      <c r="BX23" s="217" t="str">
        <f t="shared" si="25"/>
        <v>YES</v>
      </c>
      <c r="BY23" s="218" t="s">
        <v>588</v>
      </c>
      <c r="BZ23" s="215" t="s">
        <v>588</v>
      </c>
      <c r="CA23" s="217" t="str">
        <f t="shared" si="26"/>
        <v>YES</v>
      </c>
      <c r="CB23" s="218" t="s">
        <v>588</v>
      </c>
      <c r="CC23" s="215" t="s">
        <v>588</v>
      </c>
      <c r="CD23" s="217" t="str">
        <f t="shared" si="27"/>
        <v>YES</v>
      </c>
      <c r="CE23" s="218" t="s">
        <v>588</v>
      </c>
      <c r="CF23" s="215" t="s">
        <v>588</v>
      </c>
      <c r="CG23" s="217" t="str">
        <f t="shared" si="28"/>
        <v>YES</v>
      </c>
    </row>
    <row r="24" spans="1:85" ht="16" x14ac:dyDescent="0.2">
      <c r="A24" s="215" t="s">
        <v>572</v>
      </c>
      <c r="B24" s="215">
        <v>0</v>
      </c>
      <c r="C24" s="214" t="s">
        <v>588</v>
      </c>
      <c r="D24" s="217" t="str">
        <f t="shared" si="2"/>
        <v>YES</v>
      </c>
      <c r="E24" s="218">
        <v>0</v>
      </c>
      <c r="F24" s="215" t="s">
        <v>588</v>
      </c>
      <c r="G24" s="217" t="str">
        <f t="shared" si="3"/>
        <v>YES</v>
      </c>
      <c r="H24" s="218">
        <v>0</v>
      </c>
      <c r="I24" s="215" t="s">
        <v>588</v>
      </c>
      <c r="J24" s="217" t="str">
        <f t="shared" si="4"/>
        <v>YES</v>
      </c>
      <c r="K24" s="219">
        <v>0</v>
      </c>
      <c r="L24" s="215" t="s">
        <v>588</v>
      </c>
      <c r="M24" s="217" t="str">
        <f t="shared" si="5"/>
        <v>YES</v>
      </c>
      <c r="N24" s="218">
        <v>0</v>
      </c>
      <c r="O24" s="215" t="s">
        <v>588</v>
      </c>
      <c r="P24" s="217" t="str">
        <f t="shared" si="6"/>
        <v>YES</v>
      </c>
      <c r="Q24" s="214" t="s">
        <v>588</v>
      </c>
      <c r="R24" s="214" t="s">
        <v>588</v>
      </c>
      <c r="S24" s="217" t="str">
        <f t="shared" si="29"/>
        <v>YES</v>
      </c>
      <c r="T24" s="218">
        <v>0</v>
      </c>
      <c r="U24" s="215" t="s">
        <v>588</v>
      </c>
      <c r="V24" s="217" t="str">
        <f t="shared" si="7"/>
        <v>YES</v>
      </c>
      <c r="W24" s="218">
        <v>0</v>
      </c>
      <c r="X24" s="215" t="s">
        <v>588</v>
      </c>
      <c r="Y24" s="217" t="str">
        <f t="shared" si="8"/>
        <v>YES</v>
      </c>
      <c r="Z24" s="218">
        <v>0</v>
      </c>
      <c r="AA24" s="215" t="s">
        <v>588</v>
      </c>
      <c r="AB24" s="217" t="str">
        <f t="shared" si="9"/>
        <v>YES</v>
      </c>
      <c r="AC24" s="218">
        <v>0</v>
      </c>
      <c r="AD24" s="215" t="s">
        <v>588</v>
      </c>
      <c r="AE24" s="217" t="str">
        <f t="shared" si="10"/>
        <v>YES</v>
      </c>
      <c r="AF24" s="218" t="s">
        <v>588</v>
      </c>
      <c r="AG24" s="215" t="s">
        <v>588</v>
      </c>
      <c r="AH24" s="217" t="str">
        <f t="shared" si="11"/>
        <v>YES</v>
      </c>
      <c r="AI24" s="218" t="s">
        <v>588</v>
      </c>
      <c r="AJ24" s="215" t="s">
        <v>588</v>
      </c>
      <c r="AK24" s="217" t="str">
        <f t="shared" si="12"/>
        <v>YES</v>
      </c>
      <c r="AL24" s="218">
        <v>0</v>
      </c>
      <c r="AM24" s="215" t="s">
        <v>588</v>
      </c>
      <c r="AN24" s="217" t="str">
        <f t="shared" si="13"/>
        <v>YES</v>
      </c>
      <c r="AO24" s="218">
        <v>0</v>
      </c>
      <c r="AP24" s="215" t="s">
        <v>588</v>
      </c>
      <c r="AQ24" s="217" t="str">
        <f t="shared" si="14"/>
        <v>YES</v>
      </c>
      <c r="AR24" s="218">
        <v>0</v>
      </c>
      <c r="AS24" s="215" t="s">
        <v>588</v>
      </c>
      <c r="AT24" s="217" t="str">
        <f t="shared" si="15"/>
        <v>YES</v>
      </c>
      <c r="AU24" s="218">
        <v>0</v>
      </c>
      <c r="AV24" s="215" t="s">
        <v>588</v>
      </c>
      <c r="AW24" s="217" t="str">
        <f t="shared" si="16"/>
        <v>YES</v>
      </c>
      <c r="AX24" s="218">
        <v>0</v>
      </c>
      <c r="AY24" s="215" t="s">
        <v>588</v>
      </c>
      <c r="AZ24" s="217" t="str">
        <f t="shared" si="17"/>
        <v>YES</v>
      </c>
      <c r="BA24" s="218">
        <v>0</v>
      </c>
      <c r="BB24" s="215" t="s">
        <v>588</v>
      </c>
      <c r="BC24" s="217" t="str">
        <f t="shared" si="18"/>
        <v>YES</v>
      </c>
      <c r="BD24" s="218">
        <v>0</v>
      </c>
      <c r="BE24" s="215" t="s">
        <v>588</v>
      </c>
      <c r="BF24" s="217" t="str">
        <f t="shared" si="19"/>
        <v>YES</v>
      </c>
      <c r="BG24" s="215" t="s">
        <v>588</v>
      </c>
      <c r="BH24" s="215" t="s">
        <v>588</v>
      </c>
      <c r="BI24" s="217" t="str">
        <f t="shared" si="20"/>
        <v>YES</v>
      </c>
      <c r="BJ24" s="218">
        <v>0</v>
      </c>
      <c r="BK24" s="215" t="s">
        <v>588</v>
      </c>
      <c r="BL24" s="217" t="str">
        <f t="shared" si="21"/>
        <v>YES</v>
      </c>
      <c r="BM24" s="218">
        <v>0</v>
      </c>
      <c r="BN24" s="215" t="s">
        <v>588</v>
      </c>
      <c r="BO24" s="217" t="str">
        <f t="shared" si="22"/>
        <v>YES</v>
      </c>
      <c r="BP24" s="218" t="s">
        <v>588</v>
      </c>
      <c r="BQ24" s="215" t="s">
        <v>588</v>
      </c>
      <c r="BR24" s="217" t="str">
        <f t="shared" si="23"/>
        <v>YES</v>
      </c>
      <c r="BS24" s="218" t="s">
        <v>588</v>
      </c>
      <c r="BT24" s="215" t="s">
        <v>588</v>
      </c>
      <c r="BU24" s="217" t="str">
        <f t="shared" si="24"/>
        <v>YES</v>
      </c>
      <c r="BV24" s="218" t="s">
        <v>588</v>
      </c>
      <c r="BW24" s="215" t="s">
        <v>588</v>
      </c>
      <c r="BX24" s="217" t="str">
        <f t="shared" si="25"/>
        <v>YES</v>
      </c>
      <c r="BY24" s="218" t="s">
        <v>588</v>
      </c>
      <c r="BZ24" s="215" t="s">
        <v>588</v>
      </c>
      <c r="CA24" s="217" t="str">
        <f t="shared" si="26"/>
        <v>YES</v>
      </c>
      <c r="CB24" s="218" t="s">
        <v>588</v>
      </c>
      <c r="CC24" s="215" t="s">
        <v>588</v>
      </c>
      <c r="CD24" s="217" t="str">
        <f t="shared" si="27"/>
        <v>YES</v>
      </c>
      <c r="CE24" s="218" t="s">
        <v>588</v>
      </c>
      <c r="CF24" s="215" t="s">
        <v>588</v>
      </c>
      <c r="CG24" s="217" t="str">
        <f t="shared" si="28"/>
        <v>YES</v>
      </c>
    </row>
    <row r="25" spans="1:85" ht="16" x14ac:dyDescent="0.2">
      <c r="A25" s="215" t="s">
        <v>573</v>
      </c>
      <c r="B25" s="215">
        <v>0</v>
      </c>
      <c r="C25" s="214" t="s">
        <v>588</v>
      </c>
      <c r="D25" s="217" t="str">
        <f t="shared" si="2"/>
        <v>YES</v>
      </c>
      <c r="E25" s="218">
        <v>0</v>
      </c>
      <c r="F25" s="215" t="s">
        <v>588</v>
      </c>
      <c r="G25" s="217" t="str">
        <f t="shared" si="3"/>
        <v>YES</v>
      </c>
      <c r="H25" s="218">
        <v>0</v>
      </c>
      <c r="I25" s="215" t="s">
        <v>588</v>
      </c>
      <c r="J25" s="217" t="str">
        <f t="shared" si="4"/>
        <v>YES</v>
      </c>
      <c r="K25" s="219">
        <v>0</v>
      </c>
      <c r="L25" s="215" t="s">
        <v>588</v>
      </c>
      <c r="M25" s="217" t="str">
        <f t="shared" si="5"/>
        <v>YES</v>
      </c>
      <c r="N25" s="218">
        <v>0</v>
      </c>
      <c r="O25" s="215" t="s">
        <v>588</v>
      </c>
      <c r="P25" s="217" t="str">
        <f t="shared" si="6"/>
        <v>YES</v>
      </c>
      <c r="Q25" s="214" t="s">
        <v>588</v>
      </c>
      <c r="R25" s="214" t="s">
        <v>588</v>
      </c>
      <c r="S25" s="217" t="str">
        <f t="shared" si="29"/>
        <v>YES</v>
      </c>
      <c r="T25" s="218">
        <v>0</v>
      </c>
      <c r="U25" s="215" t="s">
        <v>588</v>
      </c>
      <c r="V25" s="217" t="str">
        <f t="shared" si="7"/>
        <v>YES</v>
      </c>
      <c r="W25" s="218">
        <v>0</v>
      </c>
      <c r="X25" s="215" t="s">
        <v>588</v>
      </c>
      <c r="Y25" s="217" t="str">
        <f t="shared" si="8"/>
        <v>YES</v>
      </c>
      <c r="Z25" s="218">
        <v>0</v>
      </c>
      <c r="AA25" s="215" t="s">
        <v>588</v>
      </c>
      <c r="AB25" s="217" t="str">
        <f t="shared" si="9"/>
        <v>YES</v>
      </c>
      <c r="AC25" s="218">
        <v>0</v>
      </c>
      <c r="AD25" s="215" t="s">
        <v>588</v>
      </c>
      <c r="AE25" s="217" t="str">
        <f t="shared" si="10"/>
        <v>YES</v>
      </c>
      <c r="AF25" s="218" t="s">
        <v>588</v>
      </c>
      <c r="AG25" s="215" t="s">
        <v>588</v>
      </c>
      <c r="AH25" s="217" t="str">
        <f t="shared" si="11"/>
        <v>YES</v>
      </c>
      <c r="AI25" s="218" t="s">
        <v>588</v>
      </c>
      <c r="AJ25" s="215" t="s">
        <v>588</v>
      </c>
      <c r="AK25" s="217" t="str">
        <f t="shared" si="12"/>
        <v>YES</v>
      </c>
      <c r="AL25" s="218">
        <v>0</v>
      </c>
      <c r="AM25" s="215" t="s">
        <v>588</v>
      </c>
      <c r="AN25" s="217" t="str">
        <f t="shared" si="13"/>
        <v>YES</v>
      </c>
      <c r="AO25" s="218">
        <v>0</v>
      </c>
      <c r="AP25" s="215" t="s">
        <v>588</v>
      </c>
      <c r="AQ25" s="217" t="str">
        <f t="shared" si="14"/>
        <v>YES</v>
      </c>
      <c r="AR25" s="218">
        <v>0</v>
      </c>
      <c r="AS25" s="215" t="s">
        <v>588</v>
      </c>
      <c r="AT25" s="217" t="str">
        <f t="shared" si="15"/>
        <v>YES</v>
      </c>
      <c r="AU25" s="218">
        <v>0</v>
      </c>
      <c r="AV25" s="215" t="s">
        <v>588</v>
      </c>
      <c r="AW25" s="217" t="str">
        <f t="shared" si="16"/>
        <v>YES</v>
      </c>
      <c r="AX25" s="218">
        <v>0</v>
      </c>
      <c r="AY25" s="215" t="s">
        <v>588</v>
      </c>
      <c r="AZ25" s="217" t="str">
        <f t="shared" si="17"/>
        <v>YES</v>
      </c>
      <c r="BA25" s="218">
        <v>0</v>
      </c>
      <c r="BB25" s="215" t="s">
        <v>588</v>
      </c>
      <c r="BC25" s="217" t="str">
        <f t="shared" si="18"/>
        <v>YES</v>
      </c>
      <c r="BD25" s="218">
        <v>0</v>
      </c>
      <c r="BE25" s="215" t="s">
        <v>588</v>
      </c>
      <c r="BF25" s="217" t="str">
        <f t="shared" si="19"/>
        <v>YES</v>
      </c>
      <c r="BG25" s="215" t="s">
        <v>588</v>
      </c>
      <c r="BH25" s="215" t="s">
        <v>588</v>
      </c>
      <c r="BI25" s="217" t="str">
        <f t="shared" si="20"/>
        <v>YES</v>
      </c>
      <c r="BJ25" s="218">
        <v>0</v>
      </c>
      <c r="BK25" s="215" t="s">
        <v>588</v>
      </c>
      <c r="BL25" s="217" t="str">
        <f t="shared" si="21"/>
        <v>YES</v>
      </c>
      <c r="BM25" s="218">
        <v>0</v>
      </c>
      <c r="BN25" s="215" t="s">
        <v>588</v>
      </c>
      <c r="BO25" s="217" t="str">
        <f t="shared" si="22"/>
        <v>YES</v>
      </c>
      <c r="BP25" s="218" t="s">
        <v>588</v>
      </c>
      <c r="BQ25" s="215" t="s">
        <v>588</v>
      </c>
      <c r="BR25" s="217" t="str">
        <f t="shared" si="23"/>
        <v>YES</v>
      </c>
      <c r="BS25" s="218" t="s">
        <v>588</v>
      </c>
      <c r="BT25" s="215" t="s">
        <v>588</v>
      </c>
      <c r="BU25" s="217" t="str">
        <f t="shared" si="24"/>
        <v>YES</v>
      </c>
      <c r="BV25" s="218" t="s">
        <v>588</v>
      </c>
      <c r="BW25" s="215" t="s">
        <v>588</v>
      </c>
      <c r="BX25" s="217" t="str">
        <f t="shared" si="25"/>
        <v>YES</v>
      </c>
      <c r="BY25" s="218" t="s">
        <v>588</v>
      </c>
      <c r="BZ25" s="215" t="s">
        <v>588</v>
      </c>
      <c r="CA25" s="217" t="str">
        <f t="shared" si="26"/>
        <v>YES</v>
      </c>
      <c r="CB25" s="218" t="s">
        <v>588</v>
      </c>
      <c r="CC25" s="215" t="s">
        <v>588</v>
      </c>
      <c r="CD25" s="217" t="str">
        <f t="shared" si="27"/>
        <v>YES</v>
      </c>
      <c r="CE25" s="218" t="s">
        <v>588</v>
      </c>
      <c r="CF25" s="215" t="s">
        <v>588</v>
      </c>
      <c r="CG25" s="217" t="str">
        <f t="shared" si="28"/>
        <v>YES</v>
      </c>
    </row>
    <row r="26" spans="1:85" ht="16" x14ac:dyDescent="0.2">
      <c r="A26" s="215" t="s">
        <v>574</v>
      </c>
      <c r="B26" s="215">
        <v>0</v>
      </c>
      <c r="C26" s="214" t="s">
        <v>588</v>
      </c>
      <c r="D26" s="217" t="str">
        <f t="shared" si="2"/>
        <v>YES</v>
      </c>
      <c r="E26" s="218">
        <v>0</v>
      </c>
      <c r="F26" s="215" t="s">
        <v>588</v>
      </c>
      <c r="G26" s="217" t="str">
        <f t="shared" si="3"/>
        <v>YES</v>
      </c>
      <c r="H26" s="218">
        <v>0</v>
      </c>
      <c r="I26" s="215" t="s">
        <v>588</v>
      </c>
      <c r="J26" s="217" t="str">
        <f t="shared" si="4"/>
        <v>YES</v>
      </c>
      <c r="K26" s="219">
        <v>0</v>
      </c>
      <c r="L26" s="215" t="s">
        <v>588</v>
      </c>
      <c r="M26" s="217" t="str">
        <f t="shared" si="5"/>
        <v>YES</v>
      </c>
      <c r="N26" s="218">
        <v>0</v>
      </c>
      <c r="O26" s="215" t="s">
        <v>588</v>
      </c>
      <c r="P26" s="217" t="str">
        <f t="shared" si="6"/>
        <v>YES</v>
      </c>
      <c r="Q26" s="214" t="s">
        <v>588</v>
      </c>
      <c r="R26" s="214" t="s">
        <v>588</v>
      </c>
      <c r="S26" s="217" t="str">
        <f t="shared" si="29"/>
        <v>YES</v>
      </c>
      <c r="T26" s="218">
        <v>0</v>
      </c>
      <c r="U26" s="215" t="s">
        <v>588</v>
      </c>
      <c r="V26" s="217" t="str">
        <f t="shared" si="7"/>
        <v>YES</v>
      </c>
      <c r="W26" s="218">
        <v>0</v>
      </c>
      <c r="X26" s="215" t="s">
        <v>588</v>
      </c>
      <c r="Y26" s="217" t="str">
        <f t="shared" si="8"/>
        <v>YES</v>
      </c>
      <c r="Z26" s="218">
        <v>0</v>
      </c>
      <c r="AA26" s="215" t="s">
        <v>588</v>
      </c>
      <c r="AB26" s="217" t="str">
        <f t="shared" si="9"/>
        <v>YES</v>
      </c>
      <c r="AC26" s="218">
        <v>0</v>
      </c>
      <c r="AD26" s="215" t="s">
        <v>588</v>
      </c>
      <c r="AE26" s="217" t="str">
        <f t="shared" si="10"/>
        <v>YES</v>
      </c>
      <c r="AF26" s="218" t="s">
        <v>588</v>
      </c>
      <c r="AG26" s="215" t="s">
        <v>588</v>
      </c>
      <c r="AH26" s="217" t="str">
        <f t="shared" si="11"/>
        <v>YES</v>
      </c>
      <c r="AI26" s="218" t="s">
        <v>588</v>
      </c>
      <c r="AJ26" s="215" t="s">
        <v>588</v>
      </c>
      <c r="AK26" s="217" t="str">
        <f t="shared" si="12"/>
        <v>YES</v>
      </c>
      <c r="AL26" s="218">
        <v>0</v>
      </c>
      <c r="AM26" s="215" t="s">
        <v>588</v>
      </c>
      <c r="AN26" s="217" t="str">
        <f t="shared" si="13"/>
        <v>YES</v>
      </c>
      <c r="AO26" s="218">
        <v>0</v>
      </c>
      <c r="AP26" s="215" t="s">
        <v>588</v>
      </c>
      <c r="AQ26" s="217" t="str">
        <f t="shared" si="14"/>
        <v>YES</v>
      </c>
      <c r="AR26" s="218">
        <v>0</v>
      </c>
      <c r="AS26" s="215" t="s">
        <v>588</v>
      </c>
      <c r="AT26" s="217" t="str">
        <f t="shared" si="15"/>
        <v>YES</v>
      </c>
      <c r="AU26" s="218">
        <v>0</v>
      </c>
      <c r="AV26" s="215" t="s">
        <v>588</v>
      </c>
      <c r="AW26" s="217" t="str">
        <f t="shared" si="16"/>
        <v>YES</v>
      </c>
      <c r="AX26" s="218">
        <v>0</v>
      </c>
      <c r="AY26" s="215" t="s">
        <v>588</v>
      </c>
      <c r="AZ26" s="217" t="str">
        <f t="shared" si="17"/>
        <v>YES</v>
      </c>
      <c r="BA26" s="218">
        <v>0</v>
      </c>
      <c r="BB26" s="215" t="s">
        <v>588</v>
      </c>
      <c r="BC26" s="217" t="str">
        <f t="shared" si="18"/>
        <v>YES</v>
      </c>
      <c r="BD26" s="218">
        <v>0.9</v>
      </c>
      <c r="BE26" s="215">
        <v>0.9</v>
      </c>
      <c r="BF26" s="217" t="str">
        <f t="shared" si="19"/>
        <v>YES</v>
      </c>
      <c r="BG26" s="215" t="s">
        <v>588</v>
      </c>
      <c r="BH26" s="215" t="s">
        <v>588</v>
      </c>
      <c r="BI26" s="217" t="str">
        <f t="shared" si="20"/>
        <v>YES</v>
      </c>
      <c r="BJ26" s="218">
        <v>0</v>
      </c>
      <c r="BK26" s="215" t="s">
        <v>588</v>
      </c>
      <c r="BL26" s="217" t="str">
        <f t="shared" si="21"/>
        <v>YES</v>
      </c>
      <c r="BM26" s="218">
        <v>0</v>
      </c>
      <c r="BN26" s="215" t="s">
        <v>588</v>
      </c>
      <c r="BO26" s="217" t="str">
        <f t="shared" si="22"/>
        <v>YES</v>
      </c>
      <c r="BP26" s="218" t="s">
        <v>588</v>
      </c>
      <c r="BQ26" s="215" t="s">
        <v>588</v>
      </c>
      <c r="BR26" s="217" t="str">
        <f t="shared" si="23"/>
        <v>YES</v>
      </c>
      <c r="BS26" s="218" t="s">
        <v>588</v>
      </c>
      <c r="BT26" s="215" t="s">
        <v>588</v>
      </c>
      <c r="BU26" s="217" t="str">
        <f t="shared" si="24"/>
        <v>YES</v>
      </c>
      <c r="BV26" s="218" t="s">
        <v>588</v>
      </c>
      <c r="BW26" s="215" t="s">
        <v>588</v>
      </c>
      <c r="BX26" s="217" t="str">
        <f t="shared" si="25"/>
        <v>YES</v>
      </c>
      <c r="BY26" s="218" t="s">
        <v>588</v>
      </c>
      <c r="BZ26" s="215" t="s">
        <v>588</v>
      </c>
      <c r="CA26" s="217" t="str">
        <f t="shared" si="26"/>
        <v>YES</v>
      </c>
      <c r="CB26" s="218" t="s">
        <v>588</v>
      </c>
      <c r="CC26" s="215" t="s">
        <v>588</v>
      </c>
      <c r="CD26" s="217" t="str">
        <f t="shared" si="27"/>
        <v>YES</v>
      </c>
      <c r="CE26" s="218" t="s">
        <v>588</v>
      </c>
      <c r="CF26" s="215" t="s">
        <v>588</v>
      </c>
      <c r="CG26" s="217" t="str">
        <f t="shared" si="28"/>
        <v>YES</v>
      </c>
    </row>
    <row r="27" spans="1:85" ht="32" x14ac:dyDescent="0.2">
      <c r="A27" s="215" t="s">
        <v>575</v>
      </c>
      <c r="B27" s="215">
        <v>0</v>
      </c>
      <c r="C27" s="214" t="s">
        <v>588</v>
      </c>
      <c r="D27" s="217" t="str">
        <f t="shared" si="2"/>
        <v>YES</v>
      </c>
      <c r="E27" s="218">
        <v>0</v>
      </c>
      <c r="F27" s="215" t="s">
        <v>588</v>
      </c>
      <c r="G27" s="217" t="str">
        <f t="shared" si="3"/>
        <v>YES</v>
      </c>
      <c r="H27" s="218">
        <v>0</v>
      </c>
      <c r="I27" s="215" t="s">
        <v>588</v>
      </c>
      <c r="J27" s="217" t="str">
        <f t="shared" si="4"/>
        <v>YES</v>
      </c>
      <c r="K27" s="219" t="s">
        <v>576</v>
      </c>
      <c r="L27" s="215" t="s">
        <v>602</v>
      </c>
      <c r="M27" s="217" t="s">
        <v>541</v>
      </c>
      <c r="N27" s="218">
        <v>0</v>
      </c>
      <c r="O27" s="215" t="s">
        <v>588</v>
      </c>
      <c r="P27" s="217" t="str">
        <f t="shared" si="6"/>
        <v>YES</v>
      </c>
      <c r="Q27" s="214" t="s">
        <v>588</v>
      </c>
      <c r="R27" s="214" t="s">
        <v>588</v>
      </c>
      <c r="S27" s="217" t="str">
        <f t="shared" si="29"/>
        <v>YES</v>
      </c>
      <c r="T27" s="218">
        <v>0</v>
      </c>
      <c r="U27" s="215" t="s">
        <v>588</v>
      </c>
      <c r="V27" s="217" t="str">
        <f t="shared" si="7"/>
        <v>YES</v>
      </c>
      <c r="W27" s="218">
        <v>0</v>
      </c>
      <c r="X27" s="215" t="s">
        <v>588</v>
      </c>
      <c r="Y27" s="217" t="str">
        <f t="shared" si="8"/>
        <v>YES</v>
      </c>
      <c r="Z27" s="218">
        <v>0</v>
      </c>
      <c r="AA27" s="215" t="s">
        <v>588</v>
      </c>
      <c r="AB27" s="217" t="str">
        <f t="shared" si="9"/>
        <v>YES</v>
      </c>
      <c r="AC27" s="218">
        <v>0</v>
      </c>
      <c r="AD27" s="215" t="s">
        <v>588</v>
      </c>
      <c r="AE27" s="217" t="str">
        <f t="shared" si="10"/>
        <v>YES</v>
      </c>
      <c r="AF27" s="218" t="s">
        <v>588</v>
      </c>
      <c r="AG27" s="215" t="s">
        <v>588</v>
      </c>
      <c r="AH27" s="217" t="str">
        <f t="shared" si="11"/>
        <v>YES</v>
      </c>
      <c r="AI27" s="218" t="s">
        <v>588</v>
      </c>
      <c r="AJ27" s="215" t="s">
        <v>588</v>
      </c>
      <c r="AK27" s="217" t="str">
        <f t="shared" si="12"/>
        <v>YES</v>
      </c>
      <c r="AL27" s="218">
        <v>0</v>
      </c>
      <c r="AM27" s="215" t="s">
        <v>588</v>
      </c>
      <c r="AN27" s="217" t="str">
        <f t="shared" si="13"/>
        <v>YES</v>
      </c>
      <c r="AO27" s="218">
        <v>0</v>
      </c>
      <c r="AP27" s="215" t="s">
        <v>588</v>
      </c>
      <c r="AQ27" s="217" t="str">
        <f t="shared" si="14"/>
        <v>YES</v>
      </c>
      <c r="AR27" s="218">
        <v>0</v>
      </c>
      <c r="AS27" s="215" t="s">
        <v>588</v>
      </c>
      <c r="AT27" s="217" t="str">
        <f t="shared" si="15"/>
        <v>YES</v>
      </c>
      <c r="AU27" s="218">
        <v>0</v>
      </c>
      <c r="AV27" s="215" t="s">
        <v>588</v>
      </c>
      <c r="AW27" s="217" t="str">
        <f t="shared" si="16"/>
        <v>YES</v>
      </c>
      <c r="AX27" s="218">
        <v>0</v>
      </c>
      <c r="AY27" s="215" t="s">
        <v>588</v>
      </c>
      <c r="AZ27" s="217" t="str">
        <f t="shared" si="17"/>
        <v>YES</v>
      </c>
      <c r="BA27" s="218">
        <v>0</v>
      </c>
      <c r="BB27" s="215" t="s">
        <v>588</v>
      </c>
      <c r="BC27" s="217" t="str">
        <f t="shared" si="18"/>
        <v>YES</v>
      </c>
      <c r="BD27" s="218">
        <v>0</v>
      </c>
      <c r="BE27" s="215" t="s">
        <v>588</v>
      </c>
      <c r="BF27" s="217" t="str">
        <f t="shared" si="19"/>
        <v>YES</v>
      </c>
      <c r="BG27" s="215" t="s">
        <v>588</v>
      </c>
      <c r="BH27" s="215" t="s">
        <v>588</v>
      </c>
      <c r="BI27" s="217" t="str">
        <f t="shared" si="20"/>
        <v>YES</v>
      </c>
      <c r="BJ27" s="218">
        <v>0</v>
      </c>
      <c r="BK27" s="215" t="s">
        <v>588</v>
      </c>
      <c r="BL27" s="217" t="str">
        <f t="shared" si="21"/>
        <v>YES</v>
      </c>
      <c r="BM27" s="218">
        <v>0</v>
      </c>
      <c r="BN27" s="215" t="s">
        <v>588</v>
      </c>
      <c r="BO27" s="217" t="str">
        <f t="shared" si="22"/>
        <v>YES</v>
      </c>
      <c r="BP27" s="218" t="s">
        <v>588</v>
      </c>
      <c r="BQ27" s="215" t="s">
        <v>588</v>
      </c>
      <c r="BR27" s="217" t="str">
        <f t="shared" si="23"/>
        <v>YES</v>
      </c>
      <c r="BS27" s="218" t="s">
        <v>588</v>
      </c>
      <c r="BT27" s="215" t="s">
        <v>588</v>
      </c>
      <c r="BU27" s="217" t="str">
        <f t="shared" si="24"/>
        <v>YES</v>
      </c>
      <c r="BV27" s="218" t="s">
        <v>588</v>
      </c>
      <c r="BW27" s="215" t="s">
        <v>588</v>
      </c>
      <c r="BX27" s="217" t="str">
        <f t="shared" si="25"/>
        <v>YES</v>
      </c>
      <c r="BY27" s="218" t="s">
        <v>588</v>
      </c>
      <c r="BZ27" s="215" t="s">
        <v>588</v>
      </c>
      <c r="CA27" s="217" t="str">
        <f t="shared" si="26"/>
        <v>YES</v>
      </c>
      <c r="CB27" s="218" t="s">
        <v>588</v>
      </c>
      <c r="CC27" s="215" t="s">
        <v>588</v>
      </c>
      <c r="CD27" s="217" t="str">
        <f t="shared" si="27"/>
        <v>YES</v>
      </c>
      <c r="CE27" s="218" t="s">
        <v>588</v>
      </c>
      <c r="CF27" s="215" t="s">
        <v>588</v>
      </c>
      <c r="CG27" s="217" t="str">
        <f t="shared" si="28"/>
        <v>YES</v>
      </c>
    </row>
    <row r="28" spans="1:85" ht="32" x14ac:dyDescent="0.2">
      <c r="A28" s="215" t="s">
        <v>577</v>
      </c>
      <c r="B28" s="215">
        <v>0</v>
      </c>
      <c r="C28" s="214" t="s">
        <v>588</v>
      </c>
      <c r="D28" s="217" t="str">
        <f t="shared" si="2"/>
        <v>YES</v>
      </c>
      <c r="E28" s="218">
        <v>0</v>
      </c>
      <c r="F28" s="215" t="s">
        <v>588</v>
      </c>
      <c r="G28" s="217" t="str">
        <f t="shared" si="3"/>
        <v>YES</v>
      </c>
      <c r="H28" s="218">
        <v>0</v>
      </c>
      <c r="I28" s="215" t="s">
        <v>588</v>
      </c>
      <c r="J28" s="217" t="str">
        <f t="shared" si="4"/>
        <v>YES</v>
      </c>
      <c r="K28" s="219" t="s">
        <v>578</v>
      </c>
      <c r="L28" s="215" t="s">
        <v>603</v>
      </c>
      <c r="M28" s="217" t="s">
        <v>541</v>
      </c>
      <c r="N28" s="218">
        <v>0</v>
      </c>
      <c r="O28" s="215" t="s">
        <v>588</v>
      </c>
      <c r="P28" s="217" t="str">
        <f t="shared" si="6"/>
        <v>YES</v>
      </c>
      <c r="Q28" s="214" t="s">
        <v>588</v>
      </c>
      <c r="R28" s="214" t="s">
        <v>588</v>
      </c>
      <c r="S28" s="217" t="str">
        <f t="shared" si="29"/>
        <v>YES</v>
      </c>
      <c r="T28" s="218">
        <v>0</v>
      </c>
      <c r="U28" s="215" t="s">
        <v>588</v>
      </c>
      <c r="V28" s="217" t="str">
        <f t="shared" si="7"/>
        <v>YES</v>
      </c>
      <c r="W28" s="218">
        <v>0</v>
      </c>
      <c r="X28" s="215" t="s">
        <v>588</v>
      </c>
      <c r="Y28" s="217" t="str">
        <f t="shared" si="8"/>
        <v>YES</v>
      </c>
      <c r="Z28" s="218">
        <v>0</v>
      </c>
      <c r="AA28" s="215" t="s">
        <v>588</v>
      </c>
      <c r="AB28" s="217" t="str">
        <f t="shared" si="9"/>
        <v>YES</v>
      </c>
      <c r="AC28" s="218">
        <v>0</v>
      </c>
      <c r="AD28" s="215" t="s">
        <v>588</v>
      </c>
      <c r="AE28" s="217" t="str">
        <f t="shared" si="10"/>
        <v>YES</v>
      </c>
      <c r="AF28" s="218" t="s">
        <v>588</v>
      </c>
      <c r="AG28" s="215" t="s">
        <v>588</v>
      </c>
      <c r="AH28" s="217" t="str">
        <f t="shared" si="11"/>
        <v>YES</v>
      </c>
      <c r="AI28" s="218" t="s">
        <v>588</v>
      </c>
      <c r="AJ28" s="215" t="s">
        <v>588</v>
      </c>
      <c r="AK28" s="217" t="str">
        <f t="shared" si="12"/>
        <v>YES</v>
      </c>
      <c r="AL28" s="218">
        <v>0</v>
      </c>
      <c r="AM28" s="215" t="s">
        <v>588</v>
      </c>
      <c r="AN28" s="217" t="str">
        <f t="shared" si="13"/>
        <v>YES</v>
      </c>
      <c r="AO28" s="218">
        <v>0</v>
      </c>
      <c r="AP28" s="215" t="s">
        <v>588</v>
      </c>
      <c r="AQ28" s="217" t="str">
        <f t="shared" si="14"/>
        <v>YES</v>
      </c>
      <c r="AR28" s="218">
        <v>0</v>
      </c>
      <c r="AS28" s="215" t="s">
        <v>588</v>
      </c>
      <c r="AT28" s="217" t="str">
        <f t="shared" si="15"/>
        <v>YES</v>
      </c>
      <c r="AU28" s="218">
        <v>0</v>
      </c>
      <c r="AV28" s="215" t="s">
        <v>588</v>
      </c>
      <c r="AW28" s="217" t="str">
        <f t="shared" si="16"/>
        <v>YES</v>
      </c>
      <c r="AX28" s="218">
        <v>0</v>
      </c>
      <c r="AY28" s="215" t="s">
        <v>588</v>
      </c>
      <c r="AZ28" s="217" t="str">
        <f t="shared" si="17"/>
        <v>YES</v>
      </c>
      <c r="BA28" s="218">
        <v>0</v>
      </c>
      <c r="BB28" s="215" t="s">
        <v>588</v>
      </c>
      <c r="BC28" s="217" t="str">
        <f t="shared" si="18"/>
        <v>YES</v>
      </c>
      <c r="BD28" s="218">
        <v>0</v>
      </c>
      <c r="BE28" s="215" t="s">
        <v>588</v>
      </c>
      <c r="BF28" s="217" t="str">
        <f t="shared" si="19"/>
        <v>YES</v>
      </c>
      <c r="BG28" s="215" t="s">
        <v>588</v>
      </c>
      <c r="BH28" s="215" t="s">
        <v>588</v>
      </c>
      <c r="BI28" s="217" t="str">
        <f t="shared" si="20"/>
        <v>YES</v>
      </c>
      <c r="BJ28" s="218">
        <v>0</v>
      </c>
      <c r="BK28" s="215" t="s">
        <v>588</v>
      </c>
      <c r="BL28" s="217" t="str">
        <f t="shared" si="21"/>
        <v>YES</v>
      </c>
      <c r="BM28" s="218">
        <v>0</v>
      </c>
      <c r="BN28" s="215" t="s">
        <v>588</v>
      </c>
      <c r="BO28" s="217" t="str">
        <f t="shared" si="22"/>
        <v>YES</v>
      </c>
      <c r="BP28" s="218" t="s">
        <v>588</v>
      </c>
      <c r="BQ28" s="215" t="s">
        <v>588</v>
      </c>
      <c r="BR28" s="217" t="str">
        <f t="shared" si="23"/>
        <v>YES</v>
      </c>
      <c r="BS28" s="218" t="s">
        <v>588</v>
      </c>
      <c r="BT28" s="215" t="s">
        <v>588</v>
      </c>
      <c r="BU28" s="217" t="str">
        <f t="shared" si="24"/>
        <v>YES</v>
      </c>
      <c r="BV28" s="218" t="s">
        <v>588</v>
      </c>
      <c r="BW28" s="215" t="s">
        <v>588</v>
      </c>
      <c r="BX28" s="217" t="str">
        <f t="shared" si="25"/>
        <v>YES</v>
      </c>
      <c r="BY28" s="218" t="s">
        <v>588</v>
      </c>
      <c r="BZ28" s="215" t="s">
        <v>588</v>
      </c>
      <c r="CA28" s="217" t="str">
        <f t="shared" si="26"/>
        <v>YES</v>
      </c>
      <c r="CB28" s="218" t="s">
        <v>588</v>
      </c>
      <c r="CC28" s="215" t="s">
        <v>588</v>
      </c>
      <c r="CD28" s="217" t="str">
        <f t="shared" si="27"/>
        <v>YES</v>
      </c>
      <c r="CE28" s="218" t="s">
        <v>588</v>
      </c>
      <c r="CF28" s="215" t="s">
        <v>588</v>
      </c>
      <c r="CG28" s="217" t="str">
        <f t="shared" si="28"/>
        <v>YES</v>
      </c>
    </row>
    <row r="29" spans="1:85" ht="16" x14ac:dyDescent="0.2">
      <c r="A29" s="215" t="s">
        <v>579</v>
      </c>
      <c r="B29" s="215" t="s">
        <v>580</v>
      </c>
      <c r="C29" s="214" t="s">
        <v>580</v>
      </c>
      <c r="D29" s="217" t="str">
        <f t="shared" si="2"/>
        <v>YES</v>
      </c>
      <c r="E29" s="218">
        <v>0</v>
      </c>
      <c r="F29" s="215" t="s">
        <v>588</v>
      </c>
      <c r="G29" s="217" t="str">
        <f t="shared" si="3"/>
        <v>YES</v>
      </c>
      <c r="H29" s="218">
        <v>0</v>
      </c>
      <c r="I29" s="215" t="s">
        <v>588</v>
      </c>
      <c r="J29" s="217" t="str">
        <f t="shared" si="4"/>
        <v>YES</v>
      </c>
      <c r="K29" s="219">
        <v>0</v>
      </c>
      <c r="L29" s="215" t="s">
        <v>588</v>
      </c>
      <c r="M29" s="217" t="str">
        <f t="shared" si="5"/>
        <v>YES</v>
      </c>
      <c r="N29" s="218">
        <v>0</v>
      </c>
      <c r="O29" s="215" t="s">
        <v>588</v>
      </c>
      <c r="P29" s="217" t="str">
        <f t="shared" si="6"/>
        <v>YES</v>
      </c>
      <c r="Q29" s="214" t="s">
        <v>588</v>
      </c>
      <c r="R29" s="214" t="s">
        <v>588</v>
      </c>
      <c r="S29" s="217" t="str">
        <f t="shared" si="29"/>
        <v>YES</v>
      </c>
      <c r="T29" s="218">
        <v>0</v>
      </c>
      <c r="U29" s="215" t="s">
        <v>588</v>
      </c>
      <c r="V29" s="217" t="str">
        <f t="shared" si="7"/>
        <v>YES</v>
      </c>
      <c r="W29" s="218">
        <v>0</v>
      </c>
      <c r="X29" s="215" t="s">
        <v>588</v>
      </c>
      <c r="Y29" s="217" t="str">
        <f t="shared" si="8"/>
        <v>YES</v>
      </c>
      <c r="Z29" s="218">
        <v>0</v>
      </c>
      <c r="AA29" s="215" t="s">
        <v>588</v>
      </c>
      <c r="AB29" s="217" t="str">
        <f t="shared" si="9"/>
        <v>YES</v>
      </c>
      <c r="AC29" s="218">
        <v>0</v>
      </c>
      <c r="AD29" s="215" t="s">
        <v>588</v>
      </c>
      <c r="AE29" s="217" t="str">
        <f t="shared" si="10"/>
        <v>YES</v>
      </c>
      <c r="AF29" s="218" t="s">
        <v>588</v>
      </c>
      <c r="AG29" s="215" t="s">
        <v>588</v>
      </c>
      <c r="AH29" s="217" t="str">
        <f t="shared" si="11"/>
        <v>YES</v>
      </c>
      <c r="AI29" s="218" t="s">
        <v>588</v>
      </c>
      <c r="AJ29" s="215" t="s">
        <v>588</v>
      </c>
      <c r="AK29" s="217" t="str">
        <f t="shared" si="12"/>
        <v>YES</v>
      </c>
      <c r="AL29" s="218">
        <v>0</v>
      </c>
      <c r="AM29" s="215" t="s">
        <v>588</v>
      </c>
      <c r="AN29" s="217" t="str">
        <f t="shared" si="13"/>
        <v>YES</v>
      </c>
      <c r="AO29" s="218">
        <v>0</v>
      </c>
      <c r="AP29" s="215" t="s">
        <v>588</v>
      </c>
      <c r="AQ29" s="217" t="str">
        <f t="shared" si="14"/>
        <v>YES</v>
      </c>
      <c r="AR29" s="218">
        <v>0</v>
      </c>
      <c r="AS29" s="215" t="s">
        <v>588</v>
      </c>
      <c r="AT29" s="217" t="str">
        <f t="shared" si="15"/>
        <v>YES</v>
      </c>
      <c r="AU29" s="218">
        <v>0</v>
      </c>
      <c r="AV29" s="215" t="s">
        <v>588</v>
      </c>
      <c r="AW29" s="217" t="str">
        <f t="shared" si="16"/>
        <v>YES</v>
      </c>
      <c r="AX29" s="218">
        <v>0</v>
      </c>
      <c r="AY29" s="215" t="s">
        <v>588</v>
      </c>
      <c r="AZ29" s="217" t="str">
        <f t="shared" si="17"/>
        <v>YES</v>
      </c>
      <c r="BA29" s="218">
        <v>0</v>
      </c>
      <c r="BB29" s="215" t="s">
        <v>588</v>
      </c>
      <c r="BC29" s="217" t="str">
        <f t="shared" si="18"/>
        <v>YES</v>
      </c>
      <c r="BD29" s="218">
        <v>0</v>
      </c>
      <c r="BE29" s="215" t="s">
        <v>588</v>
      </c>
      <c r="BF29" s="217" t="str">
        <f t="shared" si="19"/>
        <v>YES</v>
      </c>
      <c r="BG29" s="215" t="s">
        <v>588</v>
      </c>
      <c r="BH29" s="215" t="s">
        <v>588</v>
      </c>
      <c r="BI29" s="217" t="str">
        <f t="shared" si="20"/>
        <v>YES</v>
      </c>
      <c r="BJ29" s="218">
        <v>0</v>
      </c>
      <c r="BK29" s="215" t="s">
        <v>588</v>
      </c>
      <c r="BL29" s="217" t="str">
        <f t="shared" si="21"/>
        <v>YES</v>
      </c>
      <c r="BM29" s="218">
        <v>0</v>
      </c>
      <c r="BN29" s="215" t="s">
        <v>588</v>
      </c>
      <c r="BO29" s="217" t="str">
        <f t="shared" si="22"/>
        <v>YES</v>
      </c>
      <c r="BP29" s="218" t="s">
        <v>588</v>
      </c>
      <c r="BQ29" s="215" t="s">
        <v>588</v>
      </c>
      <c r="BR29" s="217" t="str">
        <f t="shared" si="23"/>
        <v>YES</v>
      </c>
      <c r="BS29" s="218" t="s">
        <v>588</v>
      </c>
      <c r="BT29" s="215" t="s">
        <v>588</v>
      </c>
      <c r="BU29" s="217" t="str">
        <f t="shared" si="24"/>
        <v>YES</v>
      </c>
      <c r="BV29" s="218" t="s">
        <v>588</v>
      </c>
      <c r="BW29" s="215" t="s">
        <v>588</v>
      </c>
      <c r="BX29" s="217" t="str">
        <f t="shared" si="25"/>
        <v>YES</v>
      </c>
      <c r="BY29" s="218" t="s">
        <v>588</v>
      </c>
      <c r="BZ29" s="215" t="s">
        <v>588</v>
      </c>
      <c r="CA29" s="217" t="str">
        <f t="shared" si="26"/>
        <v>YES</v>
      </c>
      <c r="CB29" s="218" t="s">
        <v>588</v>
      </c>
      <c r="CC29" s="215" t="s">
        <v>588</v>
      </c>
      <c r="CD29" s="217" t="str">
        <f t="shared" si="27"/>
        <v>YES</v>
      </c>
      <c r="CE29" s="218" t="s">
        <v>588</v>
      </c>
      <c r="CF29" s="215" t="s">
        <v>588</v>
      </c>
      <c r="CG29" s="217" t="str">
        <f t="shared" si="28"/>
        <v>YES</v>
      </c>
    </row>
    <row r="30" spans="1:85" ht="112" x14ac:dyDescent="0.2">
      <c r="A30" s="215" t="s">
        <v>581</v>
      </c>
      <c r="B30" s="215" t="s">
        <v>588</v>
      </c>
      <c r="C30" s="214" t="s">
        <v>588</v>
      </c>
      <c r="D30" s="217" t="str">
        <f t="shared" si="2"/>
        <v>YES</v>
      </c>
      <c r="E30" s="218">
        <v>0</v>
      </c>
      <c r="F30" s="215" t="s">
        <v>588</v>
      </c>
      <c r="G30" s="217" t="str">
        <f t="shared" si="3"/>
        <v>YES</v>
      </c>
      <c r="H30" s="218">
        <v>0</v>
      </c>
      <c r="I30" s="215" t="s">
        <v>588</v>
      </c>
      <c r="J30" s="217" t="str">
        <f t="shared" si="4"/>
        <v>YES</v>
      </c>
      <c r="K30" s="219" t="s">
        <v>583</v>
      </c>
      <c r="L30" s="215" t="s">
        <v>604</v>
      </c>
      <c r="M30" s="217" t="s">
        <v>541</v>
      </c>
      <c r="N30" s="218">
        <v>0</v>
      </c>
      <c r="O30" s="215" t="s">
        <v>588</v>
      </c>
      <c r="P30" s="217" t="str">
        <f t="shared" si="6"/>
        <v>YES</v>
      </c>
      <c r="Q30" s="219" t="s">
        <v>582</v>
      </c>
      <c r="R30" s="214" t="s">
        <v>605</v>
      </c>
      <c r="S30" s="217" t="s">
        <v>541</v>
      </c>
      <c r="T30" s="218">
        <v>0</v>
      </c>
      <c r="U30" s="215" t="s">
        <v>588</v>
      </c>
      <c r="V30" s="217" t="str">
        <f t="shared" si="7"/>
        <v>YES</v>
      </c>
      <c r="W30" s="218">
        <v>0</v>
      </c>
      <c r="X30" s="215" t="s">
        <v>588</v>
      </c>
      <c r="Y30" s="217" t="str">
        <f t="shared" si="8"/>
        <v>YES</v>
      </c>
      <c r="Z30" s="218">
        <v>0</v>
      </c>
      <c r="AA30" s="215" t="s">
        <v>588</v>
      </c>
      <c r="AB30" s="217" t="str">
        <f t="shared" si="9"/>
        <v>YES</v>
      </c>
      <c r="AC30" s="218">
        <v>0</v>
      </c>
      <c r="AD30" s="215" t="s">
        <v>588</v>
      </c>
      <c r="AE30" s="217" t="str">
        <f t="shared" si="10"/>
        <v>YES</v>
      </c>
      <c r="AF30" s="218" t="s">
        <v>588</v>
      </c>
      <c r="AG30" s="215" t="s">
        <v>588</v>
      </c>
      <c r="AH30" s="217" t="str">
        <f t="shared" si="11"/>
        <v>YES</v>
      </c>
      <c r="AI30" s="218" t="s">
        <v>588</v>
      </c>
      <c r="AJ30" s="215" t="s">
        <v>588</v>
      </c>
      <c r="AK30" s="217" t="str">
        <f t="shared" si="12"/>
        <v>YES</v>
      </c>
      <c r="AL30" s="218">
        <v>0</v>
      </c>
      <c r="AM30" s="215" t="s">
        <v>588</v>
      </c>
      <c r="AN30" s="217" t="str">
        <f t="shared" si="13"/>
        <v>YES</v>
      </c>
      <c r="AO30" s="218">
        <v>0</v>
      </c>
      <c r="AP30" s="215" t="s">
        <v>588</v>
      </c>
      <c r="AQ30" s="217" t="str">
        <f t="shared" si="14"/>
        <v>YES</v>
      </c>
      <c r="AR30" s="218">
        <v>0</v>
      </c>
      <c r="AS30" s="215" t="s">
        <v>588</v>
      </c>
      <c r="AT30" s="217" t="str">
        <f t="shared" si="15"/>
        <v>YES</v>
      </c>
      <c r="AU30" s="218">
        <v>0</v>
      </c>
      <c r="AV30" s="215" t="s">
        <v>588</v>
      </c>
      <c r="AW30" s="217" t="str">
        <f t="shared" si="16"/>
        <v>YES</v>
      </c>
      <c r="AX30" s="218">
        <v>0</v>
      </c>
      <c r="AY30" s="215" t="s">
        <v>588</v>
      </c>
      <c r="AZ30" s="217" t="str">
        <f t="shared" si="17"/>
        <v>YES</v>
      </c>
      <c r="BA30" s="218">
        <v>0</v>
      </c>
      <c r="BB30" s="215" t="s">
        <v>588</v>
      </c>
      <c r="BC30" s="217" t="str">
        <f t="shared" si="18"/>
        <v>YES</v>
      </c>
      <c r="BD30" s="218">
        <v>0</v>
      </c>
      <c r="BE30" s="215" t="s">
        <v>588</v>
      </c>
      <c r="BF30" s="217" t="str">
        <f t="shared" si="19"/>
        <v>YES</v>
      </c>
      <c r="BG30" s="215" t="s">
        <v>588</v>
      </c>
      <c r="BH30" s="215" t="s">
        <v>588</v>
      </c>
      <c r="BI30" s="217" t="str">
        <f t="shared" si="20"/>
        <v>YES</v>
      </c>
      <c r="BJ30" s="218">
        <v>0</v>
      </c>
      <c r="BK30" s="215" t="s">
        <v>588</v>
      </c>
      <c r="BL30" s="217" t="str">
        <f t="shared" si="21"/>
        <v>YES</v>
      </c>
      <c r="BM30" s="218">
        <v>0</v>
      </c>
      <c r="BN30" s="215" t="s">
        <v>588</v>
      </c>
      <c r="BO30" s="217" t="str">
        <f t="shared" si="22"/>
        <v>YES</v>
      </c>
      <c r="BP30" s="218" t="s">
        <v>588</v>
      </c>
      <c r="BQ30" s="215" t="s">
        <v>588</v>
      </c>
      <c r="BR30" s="217" t="str">
        <f t="shared" si="23"/>
        <v>YES</v>
      </c>
      <c r="BS30" s="218" t="s">
        <v>588</v>
      </c>
      <c r="BT30" s="215" t="s">
        <v>588</v>
      </c>
      <c r="BU30" s="217" t="str">
        <f t="shared" si="24"/>
        <v>YES</v>
      </c>
      <c r="BV30" s="218" t="s">
        <v>588</v>
      </c>
      <c r="BW30" s="215" t="s">
        <v>588</v>
      </c>
      <c r="BX30" s="217" t="str">
        <f t="shared" si="25"/>
        <v>YES</v>
      </c>
      <c r="BY30" s="218" t="s">
        <v>588</v>
      </c>
      <c r="BZ30" s="215" t="s">
        <v>588</v>
      </c>
      <c r="CA30" s="217" t="str">
        <f t="shared" si="26"/>
        <v>YES</v>
      </c>
      <c r="CB30" s="218" t="s">
        <v>588</v>
      </c>
      <c r="CC30" s="215" t="s">
        <v>588</v>
      </c>
      <c r="CD30" s="217" t="str">
        <f t="shared" si="27"/>
        <v>YES</v>
      </c>
      <c r="CE30" s="218" t="s">
        <v>588</v>
      </c>
      <c r="CF30" s="215" t="s">
        <v>588</v>
      </c>
      <c r="CG30" s="217" t="str">
        <f t="shared" si="28"/>
        <v>YES</v>
      </c>
    </row>
    <row r="31" spans="1:85" ht="176" x14ac:dyDescent="0.2">
      <c r="A31" s="215" t="s">
        <v>585</v>
      </c>
      <c r="B31" s="215" t="s">
        <v>580</v>
      </c>
      <c r="C31" s="214" t="s">
        <v>580</v>
      </c>
      <c r="D31" s="217" t="str">
        <f t="shared" si="2"/>
        <v>YES</v>
      </c>
      <c r="E31" s="218">
        <v>0</v>
      </c>
      <c r="F31" s="215" t="s">
        <v>588</v>
      </c>
      <c r="G31" s="217" t="str">
        <f t="shared" si="3"/>
        <v>YES</v>
      </c>
      <c r="H31" s="218">
        <v>0</v>
      </c>
      <c r="I31" s="215" t="s">
        <v>588</v>
      </c>
      <c r="J31" s="217" t="str">
        <f t="shared" si="4"/>
        <v>YES</v>
      </c>
      <c r="K31" s="219" t="s">
        <v>583</v>
      </c>
      <c r="L31" s="215" t="s">
        <v>604</v>
      </c>
      <c r="M31" s="217" t="s">
        <v>541</v>
      </c>
      <c r="N31" s="218">
        <v>0</v>
      </c>
      <c r="O31" s="215" t="s">
        <v>588</v>
      </c>
      <c r="P31" s="217" t="str">
        <f t="shared" si="6"/>
        <v>YES</v>
      </c>
      <c r="Q31" s="219" t="s">
        <v>584</v>
      </c>
      <c r="R31" s="214" t="s">
        <v>606</v>
      </c>
      <c r="S31" s="217" t="s">
        <v>541</v>
      </c>
      <c r="T31" s="218">
        <v>0</v>
      </c>
      <c r="U31" s="215" t="s">
        <v>588</v>
      </c>
      <c r="V31" s="217" t="str">
        <f t="shared" si="7"/>
        <v>YES</v>
      </c>
      <c r="W31" s="218">
        <v>0</v>
      </c>
      <c r="X31" s="215" t="s">
        <v>588</v>
      </c>
      <c r="Y31" s="217" t="str">
        <f t="shared" si="8"/>
        <v>YES</v>
      </c>
      <c r="Z31" s="218">
        <v>0</v>
      </c>
      <c r="AA31" s="215" t="s">
        <v>588</v>
      </c>
      <c r="AB31" s="217" t="str">
        <f t="shared" si="9"/>
        <v>YES</v>
      </c>
      <c r="AC31" s="218">
        <v>0</v>
      </c>
      <c r="AD31" s="215" t="s">
        <v>588</v>
      </c>
      <c r="AE31" s="217" t="str">
        <f t="shared" si="10"/>
        <v>YES</v>
      </c>
      <c r="AF31" s="218" t="s">
        <v>588</v>
      </c>
      <c r="AG31" s="215" t="s">
        <v>588</v>
      </c>
      <c r="AH31" s="217" t="str">
        <f t="shared" si="11"/>
        <v>YES</v>
      </c>
      <c r="AI31" s="218" t="s">
        <v>588</v>
      </c>
      <c r="AJ31" s="215" t="s">
        <v>588</v>
      </c>
      <c r="AK31" s="217" t="str">
        <f t="shared" si="12"/>
        <v>YES</v>
      </c>
      <c r="AL31" s="218">
        <v>0</v>
      </c>
      <c r="AM31" s="215" t="s">
        <v>588</v>
      </c>
      <c r="AN31" s="217" t="str">
        <f t="shared" si="13"/>
        <v>YES</v>
      </c>
      <c r="AO31" s="218">
        <v>0</v>
      </c>
      <c r="AP31" s="215" t="s">
        <v>588</v>
      </c>
      <c r="AQ31" s="217" t="str">
        <f t="shared" si="14"/>
        <v>YES</v>
      </c>
      <c r="AR31" s="218">
        <v>0</v>
      </c>
      <c r="AS31" s="215" t="s">
        <v>588</v>
      </c>
      <c r="AT31" s="217" t="str">
        <f t="shared" si="15"/>
        <v>YES</v>
      </c>
      <c r="AU31" s="218">
        <v>0</v>
      </c>
      <c r="AV31" s="215" t="s">
        <v>588</v>
      </c>
      <c r="AW31" s="217" t="str">
        <f t="shared" si="16"/>
        <v>YES</v>
      </c>
      <c r="AX31" s="218">
        <v>0</v>
      </c>
      <c r="AY31" s="215" t="s">
        <v>588</v>
      </c>
      <c r="AZ31" s="217" t="str">
        <f t="shared" si="17"/>
        <v>YES</v>
      </c>
      <c r="BA31" s="218">
        <v>0</v>
      </c>
      <c r="BB31" s="215" t="s">
        <v>588</v>
      </c>
      <c r="BC31" s="217" t="str">
        <f t="shared" si="18"/>
        <v>YES</v>
      </c>
      <c r="BD31" s="218">
        <v>0</v>
      </c>
      <c r="BE31" s="215" t="s">
        <v>588</v>
      </c>
      <c r="BF31" s="217" t="str">
        <f t="shared" si="19"/>
        <v>YES</v>
      </c>
      <c r="BG31" s="215" t="s">
        <v>588</v>
      </c>
      <c r="BH31" s="215" t="s">
        <v>588</v>
      </c>
      <c r="BI31" s="217" t="str">
        <f t="shared" si="20"/>
        <v>YES</v>
      </c>
      <c r="BJ31" s="218">
        <v>0</v>
      </c>
      <c r="BK31" s="215" t="s">
        <v>588</v>
      </c>
      <c r="BL31" s="217" t="str">
        <f t="shared" si="21"/>
        <v>YES</v>
      </c>
      <c r="BM31" s="218">
        <v>0</v>
      </c>
      <c r="BN31" s="215" t="s">
        <v>588</v>
      </c>
      <c r="BO31" s="217" t="str">
        <f t="shared" si="22"/>
        <v>YES</v>
      </c>
      <c r="BP31" s="218" t="s">
        <v>588</v>
      </c>
      <c r="BQ31" s="215" t="s">
        <v>588</v>
      </c>
      <c r="BR31" s="217" t="str">
        <f t="shared" si="23"/>
        <v>YES</v>
      </c>
      <c r="BS31" s="218" t="s">
        <v>588</v>
      </c>
      <c r="BT31" s="215" t="s">
        <v>588</v>
      </c>
      <c r="BU31" s="217" t="str">
        <f t="shared" si="24"/>
        <v>YES</v>
      </c>
      <c r="BV31" s="218" t="s">
        <v>588</v>
      </c>
      <c r="BW31" s="215" t="s">
        <v>588</v>
      </c>
      <c r="BX31" s="217" t="str">
        <f t="shared" si="25"/>
        <v>YES</v>
      </c>
      <c r="BY31" s="218" t="s">
        <v>588</v>
      </c>
      <c r="BZ31" s="215" t="s">
        <v>588</v>
      </c>
      <c r="CA31" s="217" t="str">
        <f t="shared" si="26"/>
        <v>YES</v>
      </c>
      <c r="CB31" s="218" t="s">
        <v>588</v>
      </c>
      <c r="CC31" s="215" t="s">
        <v>588</v>
      </c>
      <c r="CD31" s="217" t="str">
        <f t="shared" si="27"/>
        <v>YES</v>
      </c>
      <c r="CE31" s="218" t="s">
        <v>588</v>
      </c>
      <c r="CF31" s="215" t="s">
        <v>588</v>
      </c>
      <c r="CG31" s="217" t="str">
        <f t="shared" si="28"/>
        <v>YES</v>
      </c>
    </row>
  </sheetData>
  <conditionalFormatting sqref="D1:D1048576 G1:G1048576 J1:J1048576 M1:M1048576 P1:P1048576 S1:S1048576 V1:V1048576 Y1:Y1048576 AB1:AB1048576 AE1:AE1048576 AH1:AH1048576 AK1:AK1048576 AN1:AN1048576 AQ1:AQ1048576 AT1:AT1048576 AW1:AW1048576 AZ1:AZ1048576 BC1:BC1048576 BF1:BF1048576 BI1:BI1048576 BL1:BL1048576 BO1:BO1048576 BR1:BR1048576 BU1:BU1048576 BX1:BX1048576 CA1:CA1048576 CD1:CD1048576 CG1:CG1048576">
    <cfRule type="containsText" dxfId="0" priority="1" operator="containsText" text="MANUAL_ASSESS">
      <formula>NOT(ISERROR(SEARCH("MANUAL_ASSESS",D1)))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Code_book_v3.3</vt:lpstr>
      <vt:lpstr>Data_extraction_working</vt:lpstr>
      <vt:lpstr>S_data_extraction</vt:lpstr>
      <vt:lpstr>M_data_extraction</vt:lpstr>
      <vt:lpstr>Content analysis_text agreement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Berger</dc:creator>
  <cp:lastModifiedBy>Spencer Lee</cp:lastModifiedBy>
  <cp:lastPrinted>2022-06-03T19:56:02Z</cp:lastPrinted>
  <dcterms:created xsi:type="dcterms:W3CDTF">2022-04-26T19:04:55Z</dcterms:created>
  <dcterms:modified xsi:type="dcterms:W3CDTF">2026-09-21T18:11:46Z</dcterms:modified>
</cp:coreProperties>
</file>